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hoiy\Documents\GitHub\Probability-of-BoE-Rate-Hike-or-Cut-Using-3-Month-SONIA-Futures\"/>
    </mc:Choice>
  </mc:AlternateContent>
  <xr:revisionPtr revIDLastSave="0" documentId="13_ncr:1_{2FDEF03C-5BBD-45D0-A2A0-A75ED4E49511}" xr6:coauthVersionLast="47" xr6:coauthVersionMax="47" xr10:uidLastSave="{00000000-0000-0000-0000-000000000000}"/>
  <bookViews>
    <workbookView xWindow="-108" yWindow="-108" windowWidth="30936" windowHeight="16776" xr2:uid="{31C5425F-BC13-4302-9BBD-3DD5E823DBEE}"/>
  </bookViews>
  <sheets>
    <sheet name="Model_example_using2anchor" sheetId="3" r:id="rId1"/>
    <sheet name="Note_using the next Q as anchor" sheetId="4" r:id="rId2"/>
    <sheet name="CFA_Methodology_not useful" sheetId="5" r:id="rId3"/>
  </sheets>
  <definedNames>
    <definedName name="_xlchart.v1.0" hidden="1">Model_example_using2anchor!$O$44</definedName>
    <definedName name="_xlchart.v1.1" hidden="1">Model_example_using2anchor!$O$45</definedName>
    <definedName name="_xlchart.v1.2" hidden="1">Model_example_using2anchor!$P$44:$Q$44</definedName>
    <definedName name="_xlchart.v1.3" hidden="1">Model_example_using2anchor!$P$45:$Q$45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E5" i="5"/>
  <c r="D5" i="5"/>
  <c r="C5" i="5"/>
  <c r="D12" i="5"/>
  <c r="C11" i="5"/>
  <c r="D11" i="5" s="1"/>
  <c r="D19" i="5" s="1"/>
  <c r="C10" i="5"/>
  <c r="D10" i="5" s="1"/>
  <c r="E18" i="5" s="1"/>
  <c r="E25" i="5" s="1"/>
  <c r="C9" i="5"/>
  <c r="D9" i="5" s="1"/>
  <c r="C1" i="5"/>
  <c r="C2" i="5" s="1"/>
  <c r="R35" i="3"/>
  <c r="C11" i="3"/>
  <c r="D11" i="3" s="1"/>
  <c r="C10" i="3"/>
  <c r="D10" i="3" s="1"/>
  <c r="C27" i="3"/>
  <c r="D27" i="3" s="1"/>
  <c r="E34" i="3"/>
  <c r="F34" i="3" s="1"/>
  <c r="R29" i="3"/>
  <c r="R33" i="3"/>
  <c r="C19" i="5" l="1"/>
  <c r="E19" i="5"/>
  <c r="D18" i="5"/>
  <c r="C18" i="5" s="1"/>
  <c r="E32" i="3"/>
  <c r="E33" i="3" s="1"/>
  <c r="R34" i="3"/>
  <c r="E17" i="3"/>
  <c r="R25" i="3"/>
  <c r="R27" i="3"/>
  <c r="C1" i="3"/>
  <c r="C9" i="3"/>
  <c r="E19" i="3" s="1"/>
  <c r="F32" i="3" l="1"/>
  <c r="C33" i="3"/>
  <c r="F19" i="3"/>
  <c r="E18" i="3"/>
  <c r="F18" i="3" s="1"/>
  <c r="D9" i="3"/>
  <c r="F17" i="3"/>
  <c r="C35" i="3" l="1"/>
  <c r="C18" i="3"/>
  <c r="C16" i="3"/>
  <c r="D16" i="3" l="1"/>
  <c r="D18" i="3"/>
  <c r="D33" i="3"/>
  <c r="D35" i="3"/>
  <c r="E35" i="3" l="1"/>
  <c r="E16" i="3"/>
  <c r="F16" i="3" s="1"/>
  <c r="G16" i="3" l="1"/>
  <c r="H16" i="3" s="1"/>
  <c r="I16" i="3" l="1"/>
  <c r="I17" i="3"/>
  <c r="K17" i="3" l="1"/>
  <c r="P44" i="3" s="1"/>
  <c r="J17" i="3"/>
  <c r="L17" i="3"/>
  <c r="Q45" i="3" s="1"/>
  <c r="M17" i="3" l="1"/>
  <c r="Q46" i="3" s="1"/>
  <c r="F35" i="3"/>
  <c r="F33" i="3"/>
  <c r="G33" i="3" l="1"/>
  <c r="H33" i="3" l="1"/>
  <c r="I33" i="3" s="1"/>
  <c r="I34" i="3" l="1"/>
  <c r="K34" i="3" s="1"/>
  <c r="Q44" i="3" s="1"/>
  <c r="J34" i="3" l="1"/>
  <c r="L34" i="3"/>
  <c r="P45" i="3" s="1"/>
  <c r="M34" i="3" l="1"/>
  <c r="P46" i="3" s="1"/>
</calcChain>
</file>

<file path=xl/sharedStrings.xml><?xml version="1.0" encoding="utf-8"?>
<sst xmlns="http://schemas.openxmlformats.org/spreadsheetml/2006/main" count="121" uniqueCount="85">
  <si>
    <t>Implied Rate</t>
  </si>
  <si>
    <t>Price</t>
  </si>
  <si>
    <t>Methodology:</t>
  </si>
  <si>
    <t>Days</t>
  </si>
  <si>
    <t>3. Avg. Month Price = Daily Settle Price</t>
  </si>
  <si>
    <t>Start here --&gt;</t>
  </si>
  <si>
    <t>% Days</t>
  </si>
  <si>
    <t xml:space="preserve">        7.1. =((Monthly Change)/25)*100</t>
  </si>
  <si>
    <t>25bps</t>
  </si>
  <si>
    <t>50bps</t>
  </si>
  <si>
    <t>75bps</t>
  </si>
  <si>
    <t>100bps</t>
  </si>
  <si>
    <t>1. Get daily FF settlement prices by contract.</t>
  </si>
  <si>
    <t xml:space="preserve">        7.2. Break down the number of 25bp hikes into full hikes and remainder [Use Trunc() and Mod()].</t>
  </si>
  <si>
    <t xml:space="preserve">        8.1. Start with the number of hikes indicated by the whole integer (2 = 50bp hike; 3 = 75bp hike, etc.).</t>
  </si>
  <si>
    <t xml:space="preserve">        8.2. The probability of a hike of the size of the whole integer is = 1 - # Hike Remainder.</t>
  </si>
  <si>
    <t xml:space="preserve">        8.3. The probability of a hike 25bps larger than the expected hike size for the integer is simply = # Hike Remainder.</t>
  </si>
  <si>
    <t>9. We can now start calculating the Cumulative Probabilities, starting on the second upcoming FOMC month:</t>
  </si>
  <si>
    <t xml:space="preserve">        9.1. As a reminder, each successive FOMC month will add a branch to this probability tree. That means one or more extra probability to calculate.</t>
  </si>
  <si>
    <t>February: Thursday, February 6</t>
  </si>
  <si>
    <t>March: Thursday, March 20</t>
  </si>
  <si>
    <t>May: Thursday, May 8</t>
  </si>
  <si>
    <t>June: Thursday, June 19</t>
  </si>
  <si>
    <t>August: Thursday, August 7</t>
  </si>
  <si>
    <t>September: Thursday, September 18</t>
  </si>
  <si>
    <t>November: Thursday, November 6</t>
  </si>
  <si>
    <t>December: Thursday, December 18</t>
  </si>
  <si>
    <t>Bank of England's (BoE) Monetary Policy Committee (MPC) meeting schedule for 2025</t>
  </si>
  <si>
    <t>March: March 19, 2025</t>
  </si>
  <si>
    <t>June: June 18, 2025</t>
  </si>
  <si>
    <t>September: September 17, 2025</t>
  </si>
  <si>
    <t>December: December 17, 2025</t>
  </si>
  <si>
    <t>Contract start date:</t>
  </si>
  <si>
    <t xml:space="preserve">Daily Settle Prices </t>
  </si>
  <si>
    <t xml:space="preserve">Today </t>
  </si>
  <si>
    <t>N -&gt;</t>
  </si>
  <si>
    <t>M -&gt;</t>
  </si>
  <si>
    <t>Q2</t>
  </si>
  <si>
    <t>Q3 (Start)</t>
  </si>
  <si>
    <t>Q3 (Avg)</t>
  </si>
  <si>
    <t>Q3 (End)</t>
  </si>
  <si>
    <t># of 25bp Hikes/Cut</t>
  </si>
  <si>
    <t># Hikes/Cut Breakdown</t>
  </si>
  <si>
    <t>SONIA End = [ (Avg. SONIA) - (% days before meet.)*(SONIA Start) ] / (% days after meet.)</t>
  </si>
  <si>
    <t>SONIA Start = [ (Avg SONIA) - (% days after meet.)*(SONIA End) ] / (% days before meet.)</t>
  </si>
  <si>
    <r>
      <t>4. Because SONIA(end)</t>
    </r>
    <r>
      <rPr>
        <vertAlign val="subscript"/>
        <sz val="11"/>
        <color theme="1"/>
        <rFont val="Arial"/>
        <family val="2"/>
        <scheme val="minor"/>
      </rPr>
      <t>T-1</t>
    </r>
    <r>
      <rPr>
        <sz val="11"/>
        <color theme="1"/>
        <rFont val="Arial"/>
        <family val="2"/>
        <scheme val="minor"/>
      </rPr>
      <t xml:space="preserve"> = SONIA(beg)</t>
    </r>
    <r>
      <rPr>
        <vertAlign val="subscript"/>
        <sz val="11"/>
        <color theme="1"/>
        <rFont val="Arial"/>
        <family val="2"/>
        <scheme val="minor"/>
      </rPr>
      <t>T</t>
    </r>
    <r>
      <rPr>
        <sz val="11"/>
        <color theme="1"/>
        <rFont val="Arial"/>
        <family val="2"/>
        <scheme val="minor"/>
      </rPr>
      <t>, fill out those cells.</t>
    </r>
  </si>
  <si>
    <t>5. Calculate the adjacent SONIA Start/End using the formulas above.</t>
  </si>
  <si>
    <r>
      <t xml:space="preserve">        9.2 The joint probabilities are simple multiplications of the individual hike size Probs. (e.g. Prob(50bps)</t>
    </r>
    <r>
      <rPr>
        <vertAlign val="subscript"/>
        <sz val="11"/>
        <color theme="1"/>
        <rFont val="Arial"/>
        <family val="2"/>
        <scheme val="minor"/>
      </rPr>
      <t>T-1</t>
    </r>
    <r>
      <rPr>
        <sz val="11"/>
        <color theme="1"/>
        <rFont val="Arial"/>
        <family val="2"/>
        <scheme val="minor"/>
      </rPr>
      <t xml:space="preserve"> * Prob(50bps)</t>
    </r>
    <r>
      <rPr>
        <vertAlign val="subscript"/>
        <sz val="11"/>
        <color theme="1"/>
        <rFont val="Arial"/>
        <family val="2"/>
        <scheme val="minor"/>
      </rPr>
      <t>T</t>
    </r>
    <r>
      <rPr>
        <sz val="11"/>
        <color theme="1"/>
        <rFont val="Arial"/>
        <family val="2"/>
        <scheme val="minor"/>
      </rPr>
      <t>).</t>
    </r>
  </si>
  <si>
    <t>7. Calculate the # of 25bp hikes based off of Quarterly Change (Col. H):</t>
  </si>
  <si>
    <t>As there will be BoE MoC's meeting in the following quarter, we need to take into account of the over or underestimation of the probability of rate cut/hike as a result of the presence of the MoC meeting.</t>
  </si>
  <si>
    <t xml:space="preserve">This means, if (the last of) the MoC within the contract period announces a rate hike, the implied SONIA(End)T&lt;SONIA(Avg)T-1. </t>
  </si>
  <si>
    <t>Understanding the CME Group FedWatch Tool Methodology - CME Group</t>
  </si>
  <si>
    <t>Three Month SONIA Index Futures Pricing</t>
  </si>
  <si>
    <t>We can take this into consideration and caveat, or assuming that SONIA(End)T = SONIA(Avg)T-1, where T is the Quarter the Future Contract covers over which we are interested in the MOC's probability of rate hike/cut.# (i.e. T-1 is the anchor period)</t>
  </si>
  <si>
    <t>Future Contract</t>
  </si>
  <si>
    <t>Quarterly Change</t>
  </si>
  <si>
    <t>Q4</t>
  </si>
  <si>
    <t>Q4 (Anchor 3-month contract)</t>
  </si>
  <si>
    <t>Cut Size</t>
  </si>
  <si>
    <t>25 bp</t>
  </si>
  <si>
    <t>50 bp</t>
  </si>
  <si>
    <t>75 bp</t>
  </si>
  <si>
    <t>Using Q4 as an Anchor month</t>
  </si>
  <si>
    <r>
      <t>Hike/Cut Size Probabilities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rgb="FFFF0000"/>
        <rFont val="Arial"/>
        <family val="2"/>
        <scheme val="minor"/>
      </rPr>
      <t>for the next 2 MPC</t>
    </r>
    <r>
      <rPr>
        <sz val="11"/>
        <color theme="1"/>
        <rFont val="Arial"/>
        <family val="2"/>
        <scheme val="minor"/>
      </rPr>
      <t xml:space="preserve"> meeting</t>
    </r>
  </si>
  <si>
    <t>2. Find the nearest upcoming month without an MPC meeting.</t>
  </si>
  <si>
    <t>Q2 (No MPC's meeting left on 22/5/2025)</t>
  </si>
  <si>
    <t xml:space="preserve"> </t>
  </si>
  <si>
    <t>From: (Avg. SONIA) = (% days before meet.)*(SONIA Start)+(% days after meet)*(SONIA End)</t>
  </si>
  <si>
    <t>Q3</t>
  </si>
  <si>
    <r>
      <t xml:space="preserve">M = # of days </t>
    </r>
    <r>
      <rPr>
        <b/>
        <sz val="11"/>
        <color theme="1"/>
        <rFont val="Arial"/>
        <family val="2"/>
        <scheme val="minor"/>
      </rPr>
      <t>after</t>
    </r>
    <r>
      <rPr>
        <sz val="11"/>
        <color theme="1"/>
        <rFont val="Arial"/>
        <family val="2"/>
        <scheme val="minor"/>
      </rPr>
      <t xml:space="preserve"> the LAST MPC until the delivery date of the 3-months SONIA contract</t>
    </r>
  </si>
  <si>
    <r>
      <t xml:space="preserve">N = # of days </t>
    </r>
    <r>
      <rPr>
        <b/>
        <sz val="11"/>
        <color theme="1"/>
        <rFont val="Arial"/>
        <family val="2"/>
        <scheme val="minor"/>
      </rPr>
      <t>before</t>
    </r>
    <r>
      <rPr>
        <sz val="11"/>
        <color theme="1"/>
        <rFont val="Arial"/>
        <family val="2"/>
        <scheme val="minor"/>
      </rPr>
      <t xml:space="preserve"> the LAST MPC that the 3-months SONIA contract cover </t>
    </r>
  </si>
  <si>
    <t>0bps</t>
  </si>
  <si>
    <t>NB: In the UK it doesn't appear to have an equivalence of forward guidance target rate range. So the closest we have would be the SONIA rate itself</t>
  </si>
  <si>
    <t>CFA formula on the implied probability of rate hike/cut: Implied EFFR - Current Federal fund rate target/(0.25), given each rate hike/cut is by 25bps</t>
  </si>
  <si>
    <t xml:space="preserve">Current SONIA rate </t>
  </si>
  <si>
    <t>Probability of a rate hike/cut</t>
  </si>
  <si>
    <t xml:space="preserve">The problem with the BoE is that, unlike FED, it does not provide a forward guidance on their target range of where interest rate will be. </t>
  </si>
  <si>
    <t>Q1</t>
  </si>
  <si>
    <t>6. Calculate the Quartly Change for the quarter with MPC meetings (Col. G).</t>
  </si>
  <si>
    <t>8. We can start calculating the probability tree - start with the nearest MPC meeting:</t>
  </si>
  <si>
    <t>Sources:</t>
  </si>
  <si>
    <t>Using Q2 as an Anchor month</t>
  </si>
  <si>
    <r>
      <t xml:space="preserve">This implies </t>
    </r>
    <r>
      <rPr>
        <b/>
        <i/>
        <sz val="11"/>
        <color rgb="FFFF0000"/>
        <rFont val="Arial"/>
        <family val="2"/>
        <scheme val="minor"/>
      </rPr>
      <t>13%</t>
    </r>
    <r>
      <rPr>
        <b/>
        <i/>
        <sz val="11"/>
        <color theme="1"/>
        <rFont val="Arial"/>
        <family val="2"/>
        <scheme val="minor"/>
      </rPr>
      <t xml:space="preserve"> of 1 rate cut only in the next</t>
    </r>
    <r>
      <rPr>
        <b/>
        <i/>
        <sz val="11"/>
        <color rgb="FFFF0000"/>
        <rFont val="Arial"/>
        <family val="2"/>
        <scheme val="minor"/>
      </rPr>
      <t xml:space="preserve"> 2</t>
    </r>
    <r>
      <rPr>
        <b/>
        <i/>
        <sz val="11"/>
        <color theme="1"/>
        <rFont val="Arial"/>
        <family val="2"/>
        <scheme val="minor"/>
      </rPr>
      <t xml:space="preserve"> MPC meetings and </t>
    </r>
    <r>
      <rPr>
        <b/>
        <i/>
        <sz val="11"/>
        <color rgb="FFFF0000"/>
        <rFont val="Arial"/>
        <family val="2"/>
        <scheme val="minor"/>
      </rPr>
      <t>81%</t>
    </r>
    <r>
      <rPr>
        <b/>
        <i/>
        <sz val="11"/>
        <color theme="1"/>
        <rFont val="Arial"/>
        <family val="2"/>
        <scheme val="minor"/>
      </rPr>
      <t xml:space="preserve"> of 1 rate cut in the next </t>
    </r>
    <r>
      <rPr>
        <b/>
        <sz val="11"/>
        <color rgb="FFFF0000"/>
        <rFont val="Arial"/>
        <family val="2"/>
        <scheme val="minor"/>
      </rPr>
      <t>4</t>
    </r>
    <r>
      <rPr>
        <b/>
        <sz val="11"/>
        <color theme="1"/>
        <rFont val="Arial"/>
        <family val="2"/>
        <scheme val="minor"/>
      </rPr>
      <t xml:space="preserve"> meetings.</t>
    </r>
  </si>
  <si>
    <t xml:space="preserve">If we are willing to assume the current SONIA rate to be proxy of the target range (which we shouldn't), then we can obtain the implied probability of rate hike/cut. However, that will be more of an expected target range by the market of where rate might be at the end of the current contract. </t>
  </si>
  <si>
    <t>No cut!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</si>
</sst>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&quot;Quarter &quot;0"/>
    <numFmt numFmtId="166" formatCode="0%;0%;0%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vertAlign val="subscript"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i/>
      <sz val="11"/>
      <color rgb="FFFF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9" fontId="0" fillId="0" borderId="0" xfId="1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/>
    <xf numFmtId="0" fontId="0" fillId="0" borderId="10" xfId="0" applyBorder="1"/>
    <xf numFmtId="0" fontId="0" fillId="0" borderId="8" xfId="0" applyBorder="1"/>
    <xf numFmtId="0" fontId="0" fillId="0" borderId="3" xfId="0" applyBorder="1"/>
    <xf numFmtId="0" fontId="0" fillId="0" borderId="6" xfId="0" applyBorder="1" applyAlignment="1">
      <alignment horizontal="center" vertical="center" wrapText="1"/>
    </xf>
    <xf numFmtId="0" fontId="0" fillId="0" borderId="9" xfId="0" applyBorder="1"/>
    <xf numFmtId="164" fontId="0" fillId="2" borderId="0" xfId="0" applyNumberFormat="1" applyFill="1"/>
    <xf numFmtId="0" fontId="0" fillId="2" borderId="0" xfId="0" applyFill="1"/>
    <xf numFmtId="0" fontId="0" fillId="3" borderId="0" xfId="0" applyFill="1"/>
    <xf numFmtId="1" fontId="0" fillId="4" borderId="2" xfId="0" applyNumberFormat="1" applyFill="1" applyBorder="1"/>
    <xf numFmtId="164" fontId="0" fillId="4" borderId="2" xfId="0" applyNumberFormat="1" applyFill="1" applyBorder="1"/>
    <xf numFmtId="0" fontId="0" fillId="4" borderId="0" xfId="0" applyFill="1"/>
    <xf numFmtId="0" fontId="0" fillId="5" borderId="0" xfId="0" applyFill="1"/>
    <xf numFmtId="17" fontId="0" fillId="0" borderId="0" xfId="0" applyNumberFormat="1"/>
    <xf numFmtId="165" fontId="0" fillId="0" borderId="0" xfId="0" applyNumberFormat="1"/>
    <xf numFmtId="17" fontId="3" fillId="0" borderId="0" xfId="0" applyNumberFormat="1" applyFont="1"/>
    <xf numFmtId="17" fontId="3" fillId="0" borderId="0" xfId="0" applyNumberFormat="1" applyFont="1" applyAlignment="1">
      <alignment horizontal="center"/>
    </xf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0" fontId="2" fillId="0" borderId="6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2" fillId="3" borderId="0" xfId="0" applyNumberFormat="1" applyFont="1" applyFill="1"/>
    <xf numFmtId="0" fontId="0" fillId="9" borderId="0" xfId="0" applyFill="1"/>
    <xf numFmtId="165" fontId="2" fillId="0" borderId="9" xfId="0" applyNumberFormat="1" applyFont="1" applyBorder="1"/>
    <xf numFmtId="165" fontId="2" fillId="0" borderId="8" xfId="0" applyNumberFormat="1" applyFont="1" applyBorder="1"/>
    <xf numFmtId="17" fontId="7" fillId="0" borderId="14" xfId="0" applyNumberFormat="1" applyFont="1" applyBorder="1"/>
    <xf numFmtId="17" fontId="7" fillId="0" borderId="2" xfId="0" applyNumberFormat="1" applyFont="1" applyBorder="1"/>
    <xf numFmtId="164" fontId="2" fillId="2" borderId="3" xfId="0" applyNumberFormat="1" applyFont="1" applyFill="1" applyBorder="1"/>
    <xf numFmtId="0" fontId="5" fillId="0" borderId="0" xfId="2"/>
    <xf numFmtId="0" fontId="8" fillId="4" borderId="0" xfId="0" applyFont="1" applyFill="1"/>
    <xf numFmtId="0" fontId="0" fillId="8" borderId="0" xfId="0" applyFill="1"/>
    <xf numFmtId="0" fontId="8" fillId="8" borderId="0" xfId="0" applyFont="1" applyFill="1"/>
    <xf numFmtId="0" fontId="0" fillId="6" borderId="0" xfId="0" applyFill="1"/>
    <xf numFmtId="0" fontId="8" fillId="6" borderId="0" xfId="0" applyFont="1" applyFill="1"/>
    <xf numFmtId="0" fontId="0" fillId="7" borderId="0" xfId="0" applyFill="1"/>
    <xf numFmtId="0" fontId="8" fillId="7" borderId="0" xfId="0" applyFont="1" applyFill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9" fontId="2" fillId="5" borderId="0" xfId="1" applyFont="1" applyFill="1"/>
    <xf numFmtId="9" fontId="2" fillId="5" borderId="2" xfId="1" applyFont="1" applyFill="1" applyBorder="1"/>
    <xf numFmtId="9" fontId="0" fillId="0" borderId="1" xfId="1" applyFont="1" applyBorder="1"/>
    <xf numFmtId="9" fontId="0" fillId="0" borderId="0" xfId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8" fillId="0" borderId="0" xfId="0" applyNumberFormat="1" applyFont="1"/>
    <xf numFmtId="164" fontId="8" fillId="0" borderId="1" xfId="0" applyNumberFormat="1" applyFont="1" applyBorder="1"/>
    <xf numFmtId="164" fontId="0" fillId="3" borderId="0" xfId="0" applyNumberForma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14" xfId="0" applyBorder="1"/>
    <xf numFmtId="9" fontId="2" fillId="5" borderId="14" xfId="1" applyFont="1" applyFill="1" applyBorder="1"/>
    <xf numFmtId="9" fontId="2" fillId="5" borderId="0" xfId="1" applyFont="1" applyFill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14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9" fontId="0" fillId="0" borderId="2" xfId="1" applyFont="1" applyBorder="1"/>
    <xf numFmtId="0" fontId="2" fillId="0" borderId="9" xfId="0" applyFont="1" applyBorder="1"/>
    <xf numFmtId="9" fontId="0" fillId="0" borderId="4" xfId="1" applyFont="1" applyBorder="1"/>
    <xf numFmtId="0" fontId="7" fillId="0" borderId="0" xfId="0" applyFont="1"/>
    <xf numFmtId="9" fontId="0" fillId="0" borderId="0" xfId="0" applyNumberFormat="1"/>
    <xf numFmtId="166" fontId="0" fillId="0" borderId="0" xfId="1" applyNumberFormat="1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AC1ED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</cx:f>
      </cx:numDim>
    </cx:data>
    <cx:data id="1"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 panose="020B0604020202020204"/>
              </a:rPr>
              <a:t>Range of rate </a:t>
            </a:r>
            <a:r>
              <a:rPr lang="en-US" sz="1400" b="1" i="1" u="none" strike="noStrike" baseline="0">
                <a:solidFill>
                  <a:srgbClr val="FF0000"/>
                </a:solidFill>
                <a:latin typeface="Arial" panose="020B0604020202020204"/>
              </a:rPr>
              <a:t>cut</a:t>
            </a: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 panose="020B0604020202020204"/>
              </a:rPr>
              <a:t> probability from Jun - Sep 2025 as of 23 May</a:t>
            </a:r>
          </a:p>
        </cx:rich>
      </cx:tx>
    </cx:title>
    <cx:plotArea>
      <cx:plotAreaRegion>
        <cx:series layoutId="boxWhisker" uniqueId="{F172C1B1-4B23-48BD-99D9-58E38182A4A3}">
          <cx:tx>
            <cx:txData>
              <cx:f>_xlchart.v1.0</cx:f>
              <cx:v>25 bp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DE4518D-7DB3-4762-A228-5F22CE802E6B}">
          <cx:tx>
            <cx:txData>
              <cx:f>_xlchart.v1.1</cx:f>
              <cx:v>50 bp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784412</xdr:colOff>
      <xdr:row>4</xdr:row>
      <xdr:rowOff>112059</xdr:rowOff>
    </xdr:from>
    <xdr:to>
      <xdr:col>18</xdr:col>
      <xdr:colOff>145677</xdr:colOff>
      <xdr:row>18</xdr:row>
      <xdr:rowOff>89648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6E2D30-98BC-0F37-4682-8276F3EBA5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55732" y="820719"/>
              <a:ext cx="4321885" cy="2781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CME Palette theme">
  <a:themeElements>
    <a:clrScheme name="CME brand 2020">
      <a:dk1>
        <a:srgbClr val="000000"/>
      </a:dk1>
      <a:lt1>
        <a:srgbClr val="FFFFFF"/>
      </a:lt1>
      <a:dk2>
        <a:srgbClr val="25323C"/>
      </a:dk2>
      <a:lt2>
        <a:srgbClr val="EBEDEE"/>
      </a:lt2>
      <a:accent1>
        <a:srgbClr val="112B4A"/>
      </a:accent1>
      <a:accent2>
        <a:srgbClr val="25A9E0"/>
      </a:accent2>
      <a:accent3>
        <a:srgbClr val="5A6874"/>
      </a:accent3>
      <a:accent4>
        <a:srgbClr val="006EB6"/>
      </a:accent4>
      <a:accent5>
        <a:srgbClr val="00E473"/>
      </a:accent5>
      <a:accent6>
        <a:srgbClr val="E3E935"/>
      </a:accent6>
      <a:hlink>
        <a:srgbClr val="3CC8FF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ME Palette theme" id="{A06FE949-3AC6-8B4D-BB68-C565F623B8FB}" vid="{7B54AA39-B7CB-8449-9C96-BF15C93D8CC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ce.com/products/68361266/Three-Month-SONIA-Index-Futures/data" TargetMode="External"/><Relationship Id="rId1" Type="http://schemas.openxmlformats.org/officeDocument/2006/relationships/hyperlink" Target="https://www.cmegroup.com/articles/2023/understanding-the-cme-group-fedwatch-tool-methodology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C657-1EA8-486E-9F46-909F319FC391}">
  <dimension ref="A1:U56"/>
  <sheetViews>
    <sheetView tabSelected="1" zoomScale="85" zoomScaleNormal="85" workbookViewId="0">
      <selection activeCell="G11" sqref="G11"/>
    </sheetView>
  </sheetViews>
  <sheetFormatPr defaultColWidth="8.8984375" defaultRowHeight="13.8" x14ac:dyDescent="0.25"/>
  <cols>
    <col min="1" max="1" width="19" customWidth="1"/>
    <col min="2" max="2" width="36.5" customWidth="1"/>
    <col min="3" max="3" width="9.8984375" bestFit="1" customWidth="1"/>
    <col min="4" max="4" width="11.59765625" customWidth="1"/>
    <col min="5" max="5" width="10.59765625" customWidth="1"/>
    <col min="7" max="7" width="9.8984375" bestFit="1" customWidth="1"/>
    <col min="9" max="9" width="10.8984375" customWidth="1"/>
    <col min="10" max="10" width="10.5" customWidth="1"/>
    <col min="13" max="13" width="19.09765625" customWidth="1"/>
    <col min="14" max="14" width="15" customWidth="1"/>
    <col min="15" max="15" width="15.5" customWidth="1"/>
    <col min="16" max="16" width="13.5" customWidth="1"/>
    <col min="17" max="17" width="26" customWidth="1"/>
    <col min="18" max="18" width="10.5" bestFit="1" customWidth="1"/>
    <col min="20" max="20" width="30.69921875" customWidth="1"/>
    <col min="21" max="21" width="9.8984375" bestFit="1" customWidth="1"/>
  </cols>
  <sheetData>
    <row r="1" spans="1:21" x14ac:dyDescent="0.25">
      <c r="B1" s="3" t="s">
        <v>34</v>
      </c>
      <c r="C1" s="32">
        <f ca="1">TODAY()</f>
        <v>45830</v>
      </c>
    </row>
    <row r="2" spans="1:21" x14ac:dyDescent="0.25">
      <c r="B2" s="3" t="s">
        <v>33</v>
      </c>
      <c r="C2" s="32">
        <f>DATEVALUE("10/06/2025")</f>
        <v>45818</v>
      </c>
      <c r="N2" s="3" t="s">
        <v>67</v>
      </c>
    </row>
    <row r="3" spans="1:21" x14ac:dyDescent="0.25">
      <c r="B3" s="28">
        <v>1</v>
      </c>
      <c r="C3" s="40">
        <v>2</v>
      </c>
      <c r="D3" s="41">
        <v>3</v>
      </c>
      <c r="E3" s="28">
        <v>4</v>
      </c>
      <c r="F3" s="28">
        <v>1</v>
      </c>
      <c r="G3" s="28">
        <v>2</v>
      </c>
      <c r="H3" s="1"/>
      <c r="I3" s="1"/>
      <c r="J3" s="1"/>
      <c r="K3" s="1"/>
      <c r="L3" s="1"/>
      <c r="N3" s="19" t="s">
        <v>43</v>
      </c>
      <c r="O3" s="15"/>
      <c r="P3" s="15"/>
      <c r="Q3" s="15"/>
      <c r="R3" s="15"/>
      <c r="S3" s="15"/>
      <c r="T3" s="15"/>
      <c r="U3" s="16"/>
    </row>
    <row r="4" spans="1:21" ht="14.4" x14ac:dyDescent="0.3">
      <c r="A4" t="s">
        <v>32</v>
      </c>
      <c r="B4" s="29">
        <v>45627</v>
      </c>
      <c r="C4" s="42">
        <v>45717</v>
      </c>
      <c r="D4" s="43">
        <v>45809</v>
      </c>
      <c r="E4" s="29">
        <v>45901</v>
      </c>
      <c r="F4" s="30">
        <v>45992</v>
      </c>
      <c r="G4" s="2"/>
      <c r="H4" s="2"/>
      <c r="I4" s="2"/>
      <c r="J4" s="2"/>
      <c r="K4" s="2"/>
      <c r="L4" s="2"/>
      <c r="N4" s="17" t="s">
        <v>44</v>
      </c>
      <c r="O4" s="14"/>
      <c r="P4" s="14"/>
      <c r="Q4" s="14"/>
      <c r="R4" s="14"/>
      <c r="S4" s="14"/>
      <c r="T4" s="14"/>
      <c r="U4" s="10"/>
    </row>
    <row r="5" spans="1:21" x14ac:dyDescent="0.25">
      <c r="B5" s="4"/>
      <c r="C5" s="44">
        <v>95.626999999999995</v>
      </c>
      <c r="D5" s="44">
        <v>95.855000000000004</v>
      </c>
      <c r="E5" s="20">
        <v>96.094999999999999</v>
      </c>
      <c r="F5" s="4">
        <v>45992</v>
      </c>
      <c r="G5" s="4"/>
      <c r="H5" s="4"/>
      <c r="I5" s="4"/>
      <c r="J5" s="4"/>
      <c r="K5" s="4"/>
      <c r="L5" s="4"/>
    </row>
    <row r="7" spans="1:21" x14ac:dyDescent="0.25">
      <c r="B7" s="3"/>
    </row>
    <row r="8" spans="1:21" x14ac:dyDescent="0.25">
      <c r="C8" s="2" t="s">
        <v>1</v>
      </c>
      <c r="D8" s="2" t="s">
        <v>0</v>
      </c>
      <c r="F8" t="s">
        <v>69</v>
      </c>
    </row>
    <row r="9" spans="1:21" x14ac:dyDescent="0.25">
      <c r="B9" s="7" t="s">
        <v>65</v>
      </c>
      <c r="C9" s="4">
        <f>C5</f>
        <v>95.626999999999995</v>
      </c>
      <c r="D9" s="4">
        <f>100-C9</f>
        <v>4.3730000000000047</v>
      </c>
      <c r="F9" t="s">
        <v>70</v>
      </c>
    </row>
    <row r="10" spans="1:21" x14ac:dyDescent="0.25">
      <c r="B10" s="7" t="s">
        <v>68</v>
      </c>
      <c r="C10" s="4">
        <f>D5</f>
        <v>95.855000000000004</v>
      </c>
      <c r="D10" s="4">
        <f t="shared" ref="D10:D11" si="0">100-C10</f>
        <v>4.144999999999996</v>
      </c>
      <c r="F10" t="s">
        <v>36</v>
      </c>
      <c r="G10" s="33">
        <v>0</v>
      </c>
    </row>
    <row r="11" spans="1:21" x14ac:dyDescent="0.25">
      <c r="B11" s="7" t="s">
        <v>56</v>
      </c>
      <c r="C11" s="4">
        <f>E5</f>
        <v>96.094999999999999</v>
      </c>
      <c r="D11" s="4">
        <f t="shared" si="0"/>
        <v>3.9050000000000011</v>
      </c>
      <c r="F11" t="s">
        <v>35</v>
      </c>
      <c r="G11" s="33">
        <v>1</v>
      </c>
    </row>
    <row r="13" spans="1:21" x14ac:dyDescent="0.25">
      <c r="B13" s="3" t="s">
        <v>81</v>
      </c>
      <c r="J13" s="84" t="s">
        <v>63</v>
      </c>
      <c r="K13" s="85"/>
      <c r="L13" s="85"/>
      <c r="M13" s="85"/>
      <c r="N13" s="73"/>
    </row>
    <row r="14" spans="1:21" ht="41.4" x14ac:dyDescent="0.25">
      <c r="B14" s="10"/>
      <c r="C14" s="11" t="s">
        <v>3</v>
      </c>
      <c r="D14" s="12" t="s">
        <v>6</v>
      </c>
      <c r="E14" s="12" t="s">
        <v>1</v>
      </c>
      <c r="F14" s="18" t="s">
        <v>0</v>
      </c>
      <c r="G14" s="18" t="s">
        <v>55</v>
      </c>
      <c r="H14" s="34" t="s">
        <v>41</v>
      </c>
      <c r="I14" s="18" t="s">
        <v>42</v>
      </c>
      <c r="J14" s="70" t="s">
        <v>71</v>
      </c>
      <c r="K14" s="71" t="s">
        <v>8</v>
      </c>
      <c r="L14" s="71" t="s">
        <v>9</v>
      </c>
      <c r="M14" s="71" t="s">
        <v>10</v>
      </c>
      <c r="N14" s="72" t="s">
        <v>11</v>
      </c>
    </row>
    <row r="15" spans="1:21" x14ac:dyDescent="0.25">
      <c r="B15" s="35"/>
      <c r="I15" s="9"/>
      <c r="J15" s="67"/>
      <c r="N15" s="9"/>
    </row>
    <row r="16" spans="1:21" x14ac:dyDescent="0.25">
      <c r="B16" s="36" t="s">
        <v>40</v>
      </c>
      <c r="C16" s="33">
        <f>G10</f>
        <v>0</v>
      </c>
      <c r="D16" s="6">
        <f>C16/(C16+C18)</f>
        <v>0</v>
      </c>
      <c r="E16" s="61" t="e">
        <f>(E17-(D18*E18))/D16</f>
        <v>#DIV/0!</v>
      </c>
      <c r="F16" s="4" t="e">
        <f>100-E16</f>
        <v>#DIV/0!</v>
      </c>
      <c r="G16" s="4" t="e">
        <f>F16-F18</f>
        <v>#DIV/0!</v>
      </c>
      <c r="H16" s="38" t="e">
        <f>G16/25*100</f>
        <v>#DIV/0!</v>
      </c>
      <c r="I16" s="23" t="e">
        <f>ABS(TRUNC(H16,0))</f>
        <v>#DIV/0!</v>
      </c>
      <c r="J16" s="67"/>
      <c r="L16" s="4"/>
      <c r="M16" s="4"/>
      <c r="N16" s="9"/>
    </row>
    <row r="17" spans="1:19" x14ac:dyDescent="0.25">
      <c r="B17" s="36" t="s">
        <v>39</v>
      </c>
      <c r="E17" s="20">
        <f>D5</f>
        <v>95.855000000000004</v>
      </c>
      <c r="F17" s="4">
        <f t="shared" ref="F17:F19" si="1">100-E17</f>
        <v>4.144999999999996</v>
      </c>
      <c r="I17" s="24" t="e">
        <f>MOD(ABS(H16),1)</f>
        <v>#DIV/0!</v>
      </c>
      <c r="J17" s="68" t="e">
        <f>IF(I16=0,1-I17,0)</f>
        <v>#DIV/0!</v>
      </c>
      <c r="K17" s="69" t="e">
        <f>IF(I16=0,I17,IF(I16=1,1-I17,0))</f>
        <v>#DIV/0!</v>
      </c>
      <c r="L17" s="69" t="e">
        <f>IF(I16=0,I17-I17,IF(I16=1,I17,IF(I16=2,1-I17,0)))</f>
        <v>#DIV/0!</v>
      </c>
      <c r="M17" s="69" t="e">
        <f>IF(K17 + L17 = 1, 0, IF(I16 = 0, 0, IF(I16 = 1, I17, IF(I16 = 2, I17, IF(I16 = 3, 1 - I17, 0)))))</f>
        <v>#DIV/0!</v>
      </c>
      <c r="N17" s="56">
        <v>0</v>
      </c>
    </row>
    <row r="18" spans="1:19" x14ac:dyDescent="0.25">
      <c r="B18" s="36" t="s">
        <v>38</v>
      </c>
      <c r="C18" s="33">
        <f>G11</f>
        <v>1</v>
      </c>
      <c r="D18" s="6">
        <f>C18/(C18+C16)</f>
        <v>1</v>
      </c>
      <c r="E18" s="4">
        <f>E19</f>
        <v>95.626999999999995</v>
      </c>
      <c r="F18" s="63">
        <f t="shared" si="1"/>
        <v>4.3730000000000047</v>
      </c>
      <c r="I18" s="9"/>
      <c r="J18" s="67"/>
      <c r="L18" s="58"/>
      <c r="M18" s="58"/>
      <c r="N18" s="9"/>
    </row>
    <row r="19" spans="1:19" ht="14.4" x14ac:dyDescent="0.3">
      <c r="A19" s="8" t="s">
        <v>5</v>
      </c>
      <c r="B19" s="37" t="s">
        <v>37</v>
      </c>
      <c r="E19" s="20">
        <f>C9</f>
        <v>95.626999999999995</v>
      </c>
      <c r="F19" s="63">
        <f t="shared" si="1"/>
        <v>4.3730000000000047</v>
      </c>
      <c r="I19" s="9"/>
      <c r="J19" s="17"/>
      <c r="K19" s="14"/>
      <c r="L19" s="57"/>
      <c r="M19" s="57"/>
      <c r="N19" s="10"/>
    </row>
    <row r="20" spans="1:19" x14ac:dyDescent="0.25">
      <c r="B20" s="15"/>
      <c r="C20" s="15"/>
      <c r="D20" s="15"/>
      <c r="E20" s="15"/>
      <c r="F20" s="15"/>
      <c r="G20" s="15"/>
      <c r="H20" s="15"/>
      <c r="I20" s="15"/>
    </row>
    <row r="21" spans="1:19" x14ac:dyDescent="0.25">
      <c r="N21" s="3"/>
      <c r="O21" s="3"/>
    </row>
    <row r="22" spans="1:19" x14ac:dyDescent="0.25">
      <c r="P22" s="3" t="s">
        <v>54</v>
      </c>
      <c r="Q22" s="3" t="s">
        <v>27</v>
      </c>
    </row>
    <row r="23" spans="1:19" x14ac:dyDescent="0.25">
      <c r="Q23" s="46" t="s">
        <v>19</v>
      </c>
      <c r="R23" s="3"/>
    </row>
    <row r="24" spans="1:19" x14ac:dyDescent="0.25">
      <c r="P24" s="27">
        <v>45717</v>
      </c>
      <c r="Q24" s="47" t="s">
        <v>20</v>
      </c>
    </row>
    <row r="25" spans="1:19" x14ac:dyDescent="0.25">
      <c r="B25" s="3"/>
      <c r="P25" s="27">
        <v>45717</v>
      </c>
      <c r="Q25" s="48" t="s">
        <v>21</v>
      </c>
      <c r="R25" s="32">
        <f>DATEVALUE("08/05/2025")</f>
        <v>45785</v>
      </c>
    </row>
    <row r="26" spans="1:19" x14ac:dyDescent="0.25">
      <c r="C26" s="2" t="s">
        <v>1</v>
      </c>
      <c r="D26" s="2" t="s">
        <v>0</v>
      </c>
      <c r="G26" s="33"/>
      <c r="P26" s="27">
        <v>45809</v>
      </c>
      <c r="Q26" s="49" t="s">
        <v>22</v>
      </c>
      <c r="R26" s="31"/>
      <c r="S26" t="s">
        <v>84</v>
      </c>
    </row>
    <row r="27" spans="1:19" x14ac:dyDescent="0.25">
      <c r="B27" s="7" t="s">
        <v>57</v>
      </c>
      <c r="C27" s="4">
        <f>E5</f>
        <v>96.094999999999999</v>
      </c>
      <c r="D27" s="4">
        <f>100-C27</f>
        <v>3.9050000000000011</v>
      </c>
      <c r="G27" s="33"/>
      <c r="P27" s="27">
        <v>45809</v>
      </c>
      <c r="Q27" s="50" t="s">
        <v>23</v>
      </c>
      <c r="R27" s="32">
        <f>DATEVALUE("07/08/2025")</f>
        <v>45876</v>
      </c>
    </row>
    <row r="28" spans="1:19" x14ac:dyDescent="0.25">
      <c r="P28" s="27">
        <v>45901</v>
      </c>
      <c r="Q28" s="51" t="s">
        <v>24</v>
      </c>
    </row>
    <row r="29" spans="1:19" x14ac:dyDescent="0.25">
      <c r="B29" s="3" t="s">
        <v>62</v>
      </c>
      <c r="J29" s="84" t="s">
        <v>63</v>
      </c>
      <c r="K29" s="85"/>
      <c r="L29" s="85"/>
      <c r="M29" s="85"/>
      <c r="N29" s="73"/>
      <c r="P29" s="27">
        <v>45901</v>
      </c>
      <c r="Q29" s="52" t="s">
        <v>25</v>
      </c>
      <c r="R29" s="32">
        <f>DATEVALUE("06/11/2025")</f>
        <v>45967</v>
      </c>
    </row>
    <row r="30" spans="1:19" ht="41.4" x14ac:dyDescent="0.25">
      <c r="B30" s="10"/>
      <c r="C30" s="11" t="s">
        <v>3</v>
      </c>
      <c r="D30" s="12" t="s">
        <v>6</v>
      </c>
      <c r="E30" s="12" t="s">
        <v>1</v>
      </c>
      <c r="F30" s="18" t="s">
        <v>0</v>
      </c>
      <c r="G30" s="18" t="s">
        <v>55</v>
      </c>
      <c r="H30" s="34" t="s">
        <v>41</v>
      </c>
      <c r="I30" s="13" t="s">
        <v>42</v>
      </c>
      <c r="J30" s="70" t="s">
        <v>71</v>
      </c>
      <c r="K30" s="71" t="s">
        <v>8</v>
      </c>
      <c r="L30" s="71" t="s">
        <v>9</v>
      </c>
      <c r="M30" s="71" t="s">
        <v>10</v>
      </c>
      <c r="N30" s="72" t="s">
        <v>11</v>
      </c>
      <c r="P30" s="27">
        <v>45992</v>
      </c>
      <c r="Q30" s="25" t="s">
        <v>26</v>
      </c>
    </row>
    <row r="31" spans="1:19" x14ac:dyDescent="0.25">
      <c r="B31" s="35"/>
      <c r="I31" s="9"/>
      <c r="J31" s="67"/>
      <c r="N31" s="9"/>
      <c r="P31" s="53" t="s">
        <v>32</v>
      </c>
      <c r="Q31" s="54"/>
      <c r="R31" s="54"/>
    </row>
    <row r="32" spans="1:19" x14ac:dyDescent="0.25">
      <c r="B32" s="37" t="s">
        <v>56</v>
      </c>
      <c r="E32" s="20">
        <f>C27</f>
        <v>96.094999999999999</v>
      </c>
      <c r="F32" s="63">
        <f t="shared" ref="F32" si="2">100-E32</f>
        <v>3.9050000000000011</v>
      </c>
      <c r="I32" s="9"/>
      <c r="J32" s="67"/>
      <c r="L32" s="58"/>
      <c r="M32" s="58"/>
      <c r="N32" s="9"/>
      <c r="P32" s="27">
        <v>45717</v>
      </c>
      <c r="Q32" t="s">
        <v>28</v>
      </c>
    </row>
    <row r="33" spans="2:18" x14ac:dyDescent="0.25">
      <c r="B33" s="36" t="s">
        <v>40</v>
      </c>
      <c r="C33" s="33">
        <f>G10</f>
        <v>0</v>
      </c>
      <c r="D33" s="6">
        <f>C33/(C33+C35)</f>
        <v>0</v>
      </c>
      <c r="E33" s="4">
        <f>E32</f>
        <v>96.094999999999999</v>
      </c>
      <c r="F33" s="63">
        <f>100-E33</f>
        <v>3.9050000000000011</v>
      </c>
      <c r="G33" s="4">
        <f>F33-F35</f>
        <v>-0.23999999999999488</v>
      </c>
      <c r="H33" s="38">
        <f>G33/25*100</f>
        <v>-0.95999999999997965</v>
      </c>
      <c r="I33" s="23">
        <f>ABS(TRUNC(H33,0))</f>
        <v>0</v>
      </c>
      <c r="L33" s="4"/>
      <c r="M33" s="4"/>
      <c r="N33" s="9"/>
      <c r="P33" s="27">
        <v>45809</v>
      </c>
      <c r="Q33" t="s">
        <v>29</v>
      </c>
      <c r="R33" s="32">
        <f>DATEVALUE("18/06/2025")</f>
        <v>45826</v>
      </c>
    </row>
    <row r="34" spans="2:18" x14ac:dyDescent="0.25">
      <c r="B34" s="36" t="s">
        <v>39</v>
      </c>
      <c r="E34" s="20">
        <f>D5</f>
        <v>95.855000000000004</v>
      </c>
      <c r="F34" s="4">
        <f>100-E34</f>
        <v>4.144999999999996</v>
      </c>
      <c r="I34" s="24">
        <f>MOD(ABS(H33),1)</f>
        <v>0.95999999999997965</v>
      </c>
      <c r="J34" s="68">
        <f>IF(I33=0,1-I34,0)</f>
        <v>4.0000000000020353E-2</v>
      </c>
      <c r="K34" s="55">
        <f>IF(I33=0,I34,IF(I33=1,1-I34,0))</f>
        <v>0.95999999999997965</v>
      </c>
      <c r="L34" s="55">
        <f>IF(I33=0,I34-I34,IF(I33=1,I34,IF(I33=2,1-I34,0)))</f>
        <v>0</v>
      </c>
      <c r="M34" s="55">
        <f>IF(K34 + L34 = 1, 0, IF(I33 = 0, I34, IF(I33 = 1, I34, IF(I33 = 2, I34, IF(I33 = 3, 1 - I34, 0)))))</f>
        <v>0.95999999999997965</v>
      </c>
      <c r="N34" s="56">
        <v>0</v>
      </c>
      <c r="P34" s="27">
        <v>45901</v>
      </c>
      <c r="Q34" t="s">
        <v>30</v>
      </c>
      <c r="R34" s="32">
        <f>DATEVALUE("17/09/2025")</f>
        <v>45917</v>
      </c>
    </row>
    <row r="35" spans="2:18" x14ac:dyDescent="0.25">
      <c r="B35" s="37" t="s">
        <v>38</v>
      </c>
      <c r="C35" s="59">
        <f>G11</f>
        <v>1</v>
      </c>
      <c r="D35" s="57">
        <f>C35/(C35+C33)</f>
        <v>1</v>
      </c>
      <c r="E35" s="62">
        <f>((E34)-(D33*E33))/D35</f>
        <v>95.855000000000004</v>
      </c>
      <c r="F35" s="60">
        <f>100-E35</f>
        <v>4.144999999999996</v>
      </c>
      <c r="G35" s="14"/>
      <c r="H35" s="14"/>
      <c r="I35" s="10"/>
      <c r="J35" s="17"/>
      <c r="K35" s="14"/>
      <c r="L35" s="57"/>
      <c r="M35" s="57"/>
      <c r="N35" s="10"/>
      <c r="P35" s="27">
        <v>45992</v>
      </c>
      <c r="Q35" t="s">
        <v>31</v>
      </c>
      <c r="R35" s="32">
        <f>DATEVALUE("17/12/2025")</f>
        <v>46008</v>
      </c>
    </row>
    <row r="37" spans="2:18" x14ac:dyDescent="0.25">
      <c r="B37" s="3" t="s">
        <v>2</v>
      </c>
      <c r="J37" s="6"/>
      <c r="K37" s="6"/>
    </row>
    <row r="38" spans="2:18" x14ac:dyDescent="0.25">
      <c r="B38" t="s">
        <v>12</v>
      </c>
      <c r="I38" s="6"/>
    </row>
    <row r="39" spans="2:18" x14ac:dyDescent="0.25">
      <c r="B39" s="5" t="s">
        <v>64</v>
      </c>
    </row>
    <row r="40" spans="2:18" x14ac:dyDescent="0.25">
      <c r="B40" s="21" t="s">
        <v>4</v>
      </c>
      <c r="C40" s="21"/>
      <c r="D40" s="21"/>
      <c r="E40" s="21"/>
    </row>
    <row r="41" spans="2:18" ht="16.2" x14ac:dyDescent="0.35">
      <c r="B41" t="s">
        <v>45</v>
      </c>
      <c r="M41" t="s">
        <v>66</v>
      </c>
    </row>
    <row r="42" spans="2:18" x14ac:dyDescent="0.25">
      <c r="B42" t="s">
        <v>46</v>
      </c>
    </row>
    <row r="43" spans="2:18" x14ac:dyDescent="0.25">
      <c r="B43" t="s">
        <v>78</v>
      </c>
      <c r="O43" s="65" t="s">
        <v>58</v>
      </c>
      <c r="P43" s="65"/>
      <c r="Q43" s="65"/>
    </row>
    <row r="44" spans="2:18" x14ac:dyDescent="0.25">
      <c r="B44" s="22" t="s">
        <v>48</v>
      </c>
      <c r="C44" s="22"/>
      <c r="D44" s="22"/>
      <c r="E44" s="22"/>
      <c r="F44" s="22"/>
      <c r="G44" s="22"/>
      <c r="H44" s="22"/>
      <c r="O44" s="64" t="s">
        <v>59</v>
      </c>
      <c r="P44" s="66" t="e">
        <f>K17</f>
        <v>#DIV/0!</v>
      </c>
      <c r="Q44" s="66">
        <f>K34</f>
        <v>0.95999999999997965</v>
      </c>
    </row>
    <row r="45" spans="2:18" x14ac:dyDescent="0.25">
      <c r="B45" t="s">
        <v>7</v>
      </c>
      <c r="O45" s="64" t="s">
        <v>60</v>
      </c>
      <c r="P45" s="66">
        <f>L34</f>
        <v>0</v>
      </c>
      <c r="Q45" s="66" t="e">
        <f>L17</f>
        <v>#DIV/0!</v>
      </c>
    </row>
    <row r="46" spans="2:18" x14ac:dyDescent="0.25">
      <c r="B46" s="25" t="s">
        <v>13</v>
      </c>
      <c r="C46" s="25"/>
      <c r="D46" s="25"/>
      <c r="E46" s="25"/>
      <c r="F46" s="25"/>
      <c r="G46" s="25"/>
      <c r="H46" s="25"/>
      <c r="I46" s="25"/>
      <c r="J46" s="25"/>
      <c r="O46" s="64" t="s">
        <v>61</v>
      </c>
      <c r="P46" s="66">
        <f>M34</f>
        <v>0.95999999999997965</v>
      </c>
      <c r="Q46" s="66" t="e">
        <f>M17</f>
        <v>#DIV/0!</v>
      </c>
    </row>
    <row r="47" spans="2:18" x14ac:dyDescent="0.25">
      <c r="B47" s="26" t="s">
        <v>79</v>
      </c>
      <c r="C47" s="26"/>
      <c r="D47" s="26"/>
      <c r="E47" s="26"/>
      <c r="F47" s="26"/>
      <c r="G47" s="26"/>
      <c r="H47" s="26"/>
      <c r="I47" s="26"/>
      <c r="J47" s="26"/>
      <c r="K47" s="26"/>
    </row>
    <row r="48" spans="2:18" x14ac:dyDescent="0.25">
      <c r="B48" s="26" t="s">
        <v>14</v>
      </c>
      <c r="C48" s="26"/>
      <c r="D48" s="26"/>
      <c r="E48" s="26"/>
      <c r="F48" s="26"/>
      <c r="G48" s="26"/>
      <c r="H48" s="26"/>
      <c r="I48" s="26"/>
      <c r="J48" s="26"/>
      <c r="K48" s="26"/>
    </row>
    <row r="49" spans="2:12" x14ac:dyDescent="0.25">
      <c r="B49" s="26" t="s">
        <v>15</v>
      </c>
      <c r="C49" s="26"/>
      <c r="D49" s="26"/>
      <c r="E49" s="26"/>
      <c r="F49" s="26"/>
      <c r="G49" s="26"/>
      <c r="H49" s="26"/>
      <c r="I49" s="26"/>
      <c r="J49" s="26"/>
      <c r="K49" s="26"/>
    </row>
    <row r="50" spans="2:12" x14ac:dyDescent="0.25">
      <c r="B50" s="26" t="s">
        <v>16</v>
      </c>
      <c r="C50" s="26"/>
      <c r="D50" s="26"/>
      <c r="E50" s="26"/>
      <c r="F50" s="26"/>
      <c r="G50" s="26"/>
      <c r="H50" s="26"/>
      <c r="I50" s="26"/>
      <c r="J50" s="26"/>
      <c r="K50" s="26"/>
    </row>
    <row r="51" spans="2:12" x14ac:dyDescent="0.25">
      <c r="B51" s="39" t="s">
        <v>17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2:12" x14ac:dyDescent="0.25">
      <c r="B52" s="39" t="s">
        <v>18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2:12" ht="16.2" x14ac:dyDescent="0.35">
      <c r="B53" s="39" t="s">
        <v>47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2:12" x14ac:dyDescent="0.25">
      <c r="B54" s="3" t="s">
        <v>80</v>
      </c>
    </row>
    <row r="55" spans="2:12" x14ac:dyDescent="0.25">
      <c r="B55" s="45" t="s">
        <v>51</v>
      </c>
    </row>
    <row r="56" spans="2:12" x14ac:dyDescent="0.25">
      <c r="B56" s="45" t="s">
        <v>52</v>
      </c>
    </row>
  </sheetData>
  <mergeCells count="2">
    <mergeCell ref="J13:M13"/>
    <mergeCell ref="J29:M29"/>
  </mergeCells>
  <conditionalFormatting sqref="H16">
    <cfRule type="cellIs" dxfId="2" priority="2" operator="lessThan">
      <formula>0</formula>
    </cfRule>
  </conditionalFormatting>
  <conditionalFormatting sqref="H33">
    <cfRule type="cellIs" dxfId="1" priority="1" operator="lessThan">
      <formula>0</formula>
    </cfRule>
  </conditionalFormatting>
  <hyperlinks>
    <hyperlink ref="B55" r:id="rId1" display="https://www.cmegroup.com/articles/2023/understanding-the-cme-group-fedwatch-tool-methodology.html" xr:uid="{10B319ED-400D-4054-B0B3-3750263CFCB5}"/>
    <hyperlink ref="B56" r:id="rId2" display="https://www.ice.com/products/68361266/Three-Month-SONIA-Index-Futures/data" xr:uid="{3602DE27-1F94-4D00-8D21-32FD8B084AD6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9AC1-C1BE-425E-BFE2-9051668BC55F}">
  <dimension ref="A1:A3"/>
  <sheetViews>
    <sheetView workbookViewId="0">
      <selection activeCell="J20" sqref="J20"/>
    </sheetView>
  </sheetViews>
  <sheetFormatPr defaultRowHeight="13.8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6E4D-0D17-48C2-B2CB-7100516C71BC}">
  <dimension ref="A1:G28"/>
  <sheetViews>
    <sheetView workbookViewId="0">
      <selection activeCell="H16" sqref="H16"/>
    </sheetView>
  </sheetViews>
  <sheetFormatPr defaultRowHeight="13.8" x14ac:dyDescent="0.25"/>
  <cols>
    <col min="1" max="1" width="16.09765625" customWidth="1"/>
    <col min="2" max="2" width="16.8984375" customWidth="1"/>
    <col min="3" max="3" width="14.19921875" customWidth="1"/>
    <col min="4" max="4" width="11.09765625" customWidth="1"/>
    <col min="5" max="5" width="18.69921875" bestFit="1" customWidth="1"/>
  </cols>
  <sheetData>
    <row r="1" spans="1:7" x14ac:dyDescent="0.25">
      <c r="B1" s="3" t="s">
        <v>34</v>
      </c>
      <c r="C1" s="32">
        <f ca="1">TODAY()</f>
        <v>45830</v>
      </c>
      <c r="G1" t="s">
        <v>72</v>
      </c>
    </row>
    <row r="2" spans="1:7" x14ac:dyDescent="0.25">
      <c r="B2" s="3" t="s">
        <v>33</v>
      </c>
      <c r="C2" s="32">
        <f ca="1">C1</f>
        <v>45830</v>
      </c>
    </row>
    <row r="3" spans="1:7" x14ac:dyDescent="0.25">
      <c r="B3" s="28">
        <v>1</v>
      </c>
      <c r="C3" s="40">
        <v>2</v>
      </c>
      <c r="D3" s="41">
        <v>3</v>
      </c>
      <c r="E3" s="28">
        <v>4</v>
      </c>
      <c r="G3" t="s">
        <v>73</v>
      </c>
    </row>
    <row r="4" spans="1:7" ht="14.4" x14ac:dyDescent="0.3">
      <c r="A4" t="s">
        <v>32</v>
      </c>
      <c r="B4" s="29">
        <v>45627</v>
      </c>
      <c r="C4" s="42">
        <v>45717</v>
      </c>
      <c r="D4" s="43">
        <v>45809</v>
      </c>
      <c r="E4" s="29">
        <v>45901</v>
      </c>
    </row>
    <row r="5" spans="1:7" x14ac:dyDescent="0.25">
      <c r="B5" s="4"/>
      <c r="C5" s="44">
        <f>Model_example_using2anchor!C5</f>
        <v>95.626999999999995</v>
      </c>
      <c r="D5" s="44">
        <f>Model_example_using2anchor!D5</f>
        <v>95.855000000000004</v>
      </c>
      <c r="E5" s="20">
        <f>Model_example_using2anchor!E5</f>
        <v>96.094999999999999</v>
      </c>
      <c r="G5" t="s">
        <v>76</v>
      </c>
    </row>
    <row r="6" spans="1:7" x14ac:dyDescent="0.25">
      <c r="G6" t="s">
        <v>83</v>
      </c>
    </row>
    <row r="8" spans="1:7" x14ac:dyDescent="0.25">
      <c r="C8" s="2" t="s">
        <v>1</v>
      </c>
      <c r="D8" s="2" t="s">
        <v>0</v>
      </c>
      <c r="E8" s="3" t="s">
        <v>74</v>
      </c>
    </row>
    <row r="9" spans="1:7" x14ac:dyDescent="0.25">
      <c r="B9" s="7" t="s">
        <v>65</v>
      </c>
      <c r="C9" s="4">
        <f>Model_example_using2anchor!C5</f>
        <v>95.626999999999995</v>
      </c>
      <c r="D9" s="4">
        <f>100-C9</f>
        <v>4.3730000000000047</v>
      </c>
      <c r="E9">
        <v>4.2119999999999997</v>
      </c>
    </row>
    <row r="10" spans="1:7" x14ac:dyDescent="0.25">
      <c r="B10" s="7" t="s">
        <v>68</v>
      </c>
      <c r="C10" s="4">
        <f>Model_example_using2anchor!D5</f>
        <v>95.855000000000004</v>
      </c>
      <c r="D10" s="4">
        <f t="shared" ref="D10:D12" si="0">100-C10</f>
        <v>4.144999999999996</v>
      </c>
    </row>
    <row r="11" spans="1:7" x14ac:dyDescent="0.25">
      <c r="B11" s="7" t="s">
        <v>56</v>
      </c>
      <c r="C11" s="4">
        <f>Model_example_using2anchor!E5</f>
        <v>96.094999999999999</v>
      </c>
      <c r="D11" s="4">
        <f t="shared" si="0"/>
        <v>3.9050000000000011</v>
      </c>
    </row>
    <row r="12" spans="1:7" x14ac:dyDescent="0.25">
      <c r="B12" s="7" t="s">
        <v>77</v>
      </c>
      <c r="C12">
        <v>96.224999999999994</v>
      </c>
      <c r="D12" s="4">
        <f t="shared" si="0"/>
        <v>3.7750000000000057</v>
      </c>
    </row>
    <row r="15" spans="1:7" x14ac:dyDescent="0.25">
      <c r="G15" s="76"/>
    </row>
    <row r="16" spans="1:7" x14ac:dyDescent="0.25">
      <c r="B16" s="79" t="s">
        <v>75</v>
      </c>
      <c r="C16" s="15"/>
      <c r="D16" s="15"/>
      <c r="E16" s="15"/>
      <c r="F16" s="16"/>
      <c r="G16" s="58"/>
    </row>
    <row r="17" spans="2:7" x14ac:dyDescent="0.25">
      <c r="B17" s="67"/>
      <c r="C17" s="76" t="s">
        <v>71</v>
      </c>
      <c r="D17" s="76" t="s">
        <v>8</v>
      </c>
      <c r="E17" s="76" t="s">
        <v>9</v>
      </c>
      <c r="F17" s="77" t="s">
        <v>10</v>
      </c>
      <c r="G17" s="58"/>
    </row>
    <row r="18" spans="2:7" x14ac:dyDescent="0.25">
      <c r="B18" s="74" t="s">
        <v>68</v>
      </c>
      <c r="C18" s="58">
        <f>IF((D10 - E9)/0.25 &lt; 0, 1-(ABS(D18)),0)</f>
        <v>0.73199999999998511</v>
      </c>
      <c r="D18" s="83">
        <f>IF((D10 - E9)/0.25 &gt; 0, E18 - 1, (D10 - E9)/0.25)</f>
        <v>-0.26800000000001489</v>
      </c>
      <c r="E18" s="58">
        <f>IF((D10 - E9)/0.25 &gt; 0, MOD((D10 - E9)/0.25, 1), 0)</f>
        <v>0</v>
      </c>
      <c r="F18" s="78"/>
    </row>
    <row r="19" spans="2:7" x14ac:dyDescent="0.25">
      <c r="B19" s="75" t="s">
        <v>56</v>
      </c>
      <c r="C19" s="58">
        <f>IF((D11 - E9)/0.25 &lt; 0, 1-(ABS(D19)),0)</f>
        <v>-0.22799999999999443</v>
      </c>
      <c r="D19" s="83">
        <f>IF((D11 - E9)/0.25 &gt; 0, E19 - 1, (D11 - E9)/0.25)</f>
        <v>-1.2279999999999944</v>
      </c>
      <c r="E19" s="58">
        <f>IF((D11 - E9)/0.25 &gt; 0, MOD((D11 - E9)/0.25, 1), 0)</f>
        <v>0</v>
      </c>
      <c r="F19" s="80"/>
    </row>
    <row r="22" spans="2:7" x14ac:dyDescent="0.25">
      <c r="B22" s="81" t="s">
        <v>82</v>
      </c>
    </row>
    <row r="25" spans="2:7" x14ac:dyDescent="0.25">
      <c r="E25">
        <f>IF((D10 - E9)/0.25 &gt; 0, E18 - 1, (D10 - E9)/0.25)</f>
        <v>-0.26800000000001489</v>
      </c>
    </row>
    <row r="28" spans="2:7" x14ac:dyDescent="0.25">
      <c r="E28" s="82"/>
    </row>
  </sheetData>
  <conditionalFormatting sqref="D18:D1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Model_example_using2anchor</vt:lpstr>
      <vt:lpstr>Note_using the next Q as anchor</vt:lpstr>
      <vt:lpstr>CFA_Methodology_not useful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Dimitrov Lobao, Arthur</dc:creator>
  <cp:lastModifiedBy>Office</cp:lastModifiedBy>
  <dcterms:created xsi:type="dcterms:W3CDTF">2022-08-02T14:45:14Z</dcterms:created>
  <dcterms:modified xsi:type="dcterms:W3CDTF">2025-06-22T22:34:47Z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