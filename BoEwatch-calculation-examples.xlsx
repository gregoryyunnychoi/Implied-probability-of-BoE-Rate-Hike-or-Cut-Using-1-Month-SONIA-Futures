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hoiy\Documents\GitHub\Probability-of-BoE-Rate-Hike-or-Cut-Using-1-Month-SONIA-Futures\"/>
    </mc:Choice>
  </mc:AlternateContent>
  <xr:revisionPtr revIDLastSave="0" documentId="13_ncr:1_{9E360BAB-B1BC-4212-AFAB-3CE92B9859A2}" xr6:coauthVersionLast="47" xr6:coauthVersionMax="47" xr10:uidLastSave="{00000000-0000-0000-0000-000000000000}"/>
  <bookViews>
    <workbookView xWindow="28680" yWindow="-105" windowWidth="29040" windowHeight="15720" xr2:uid="{31C5425F-BC13-4302-9BBD-3DD5E823DBEE}"/>
  </bookViews>
  <sheets>
    <sheet name="Model_example" sheetId="3" r:id="rId1"/>
    <sheet name="Note_using the next Q as anchor" sheetId="4" r:id="rId2"/>
    <sheet name="CFA_Methodology_not useful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3" l="1"/>
  <c r="C33" i="3"/>
  <c r="E34" i="3"/>
  <c r="C2" i="3" l="1"/>
  <c r="E21" i="3"/>
  <c r="E23" i="3"/>
  <c r="F23" i="3" s="1"/>
  <c r="C16" i="3"/>
  <c r="C24" i="3"/>
  <c r="C22" i="3"/>
  <c r="E5" i="5"/>
  <c r="D5" i="5"/>
  <c r="C5" i="5"/>
  <c r="D12" i="5"/>
  <c r="C11" i="5"/>
  <c r="D11" i="5" s="1"/>
  <c r="D19" i="5" s="1"/>
  <c r="C10" i="5"/>
  <c r="D10" i="5" s="1"/>
  <c r="E18" i="5" s="1"/>
  <c r="E25" i="5" s="1"/>
  <c r="C9" i="5"/>
  <c r="D9" i="5" s="1"/>
  <c r="C1" i="5"/>
  <c r="C2" i="5" s="1"/>
  <c r="C11" i="3"/>
  <c r="D11" i="3" s="1"/>
  <c r="C10" i="3"/>
  <c r="D10" i="3" l="1"/>
  <c r="E36" i="3"/>
  <c r="D16" i="3"/>
  <c r="C19" i="5"/>
  <c r="E19" i="5"/>
  <c r="D18" i="5"/>
  <c r="C18" i="5" s="1"/>
  <c r="E22" i="3"/>
  <c r="C1" i="3"/>
  <c r="C9" i="3"/>
  <c r="F21" i="3" l="1"/>
  <c r="F36" i="3"/>
  <c r="E35" i="3"/>
  <c r="F35" i="3" s="1"/>
  <c r="D9" i="3"/>
  <c r="F34" i="3"/>
  <c r="D33" i="3" l="1"/>
  <c r="D35" i="3"/>
  <c r="D22" i="3"/>
  <c r="D24" i="3"/>
  <c r="E24" i="3" l="1"/>
  <c r="E33" i="3"/>
  <c r="F33" i="3" s="1"/>
  <c r="G33" i="3" l="1"/>
  <c r="H33" i="3" s="1"/>
  <c r="I33" i="3" l="1"/>
  <c r="I34" i="3"/>
  <c r="K34" i="3" l="1"/>
  <c r="P48" i="3" s="1"/>
  <c r="J34" i="3"/>
  <c r="L34" i="3"/>
  <c r="Q49" i="3" s="1"/>
  <c r="M34" i="3" l="1"/>
  <c r="Q50" i="3" s="1"/>
  <c r="F24" i="3"/>
  <c r="F22" i="3"/>
  <c r="G22" i="3" l="1"/>
  <c r="H22" i="3" l="1"/>
  <c r="I22" i="3" s="1"/>
  <c r="I23" i="3" l="1"/>
  <c r="K23" i="3" s="1"/>
  <c r="Q48" i="3" s="1"/>
  <c r="L23" i="3" l="1"/>
  <c r="P49" i="3" s="1"/>
  <c r="J23" i="3"/>
  <c r="P50" i="3" l="1"/>
</calcChain>
</file>

<file path=xl/sharedStrings.xml><?xml version="1.0" encoding="utf-8"?>
<sst xmlns="http://schemas.openxmlformats.org/spreadsheetml/2006/main" count="115" uniqueCount="78">
  <si>
    <t>Implied Rate</t>
  </si>
  <si>
    <t>Price</t>
  </si>
  <si>
    <t>Methodology:</t>
  </si>
  <si>
    <t>Days</t>
  </si>
  <si>
    <t>3. Avg. Month Price = Daily Settle Price</t>
  </si>
  <si>
    <t>Start here --&gt;</t>
  </si>
  <si>
    <t>% Days</t>
  </si>
  <si>
    <t xml:space="preserve">        7.1. =((Monthly Change)/25)*100</t>
  </si>
  <si>
    <t>25bps</t>
  </si>
  <si>
    <t>50bps</t>
  </si>
  <si>
    <t>75bps</t>
  </si>
  <si>
    <t>100bps</t>
  </si>
  <si>
    <t>1. Get daily FF settlement prices by contract.</t>
  </si>
  <si>
    <t xml:space="preserve">        7.2. Break down the number of 25bp hikes into full hikes and remainder [Use Trunc() and Mod()].</t>
  </si>
  <si>
    <t xml:space="preserve">        8.1. Start with the number of hikes indicated by the whole integer (2 = 50bp hike; 3 = 75bp hike, etc.).</t>
  </si>
  <si>
    <t xml:space="preserve">        8.2. The probability of a hike of the size of the whole integer is = 1 - # Hike Remainder.</t>
  </si>
  <si>
    <t xml:space="preserve">        8.3. The probability of a hike 25bps larger than the expected hike size for the integer is simply = # Hike Remainder.</t>
  </si>
  <si>
    <t>9. We can now start calculating the Cumulative Probabilities, starting on the second upcoming FOMC month:</t>
  </si>
  <si>
    <t xml:space="preserve">        9.1. As a reminder, each successive FOMC month will add a branch to this probability tree. That means one or more extra probability to calculate.</t>
  </si>
  <si>
    <t>Contract start date:</t>
  </si>
  <si>
    <t xml:space="preserve">Daily Settle Prices </t>
  </si>
  <si>
    <t xml:space="preserve">Today </t>
  </si>
  <si>
    <t>N -&gt;</t>
  </si>
  <si>
    <t>M -&gt;</t>
  </si>
  <si>
    <t># of 25bp Hikes/Cut</t>
  </si>
  <si>
    <t># Hikes/Cut Breakdown</t>
  </si>
  <si>
    <t>SONIA End = [ (Avg. SONIA) - (% days before meet.)*(SONIA Start) ] / (% days after meet.)</t>
  </si>
  <si>
    <t>SONIA Start = [ (Avg SONIA) - (% days after meet.)*(SONIA End) ] / (% days before meet.)</t>
  </si>
  <si>
    <r>
      <t>4. Because SONIA(end)</t>
    </r>
    <r>
      <rPr>
        <vertAlign val="subscript"/>
        <sz val="11"/>
        <color theme="1"/>
        <rFont val="Arial"/>
        <family val="2"/>
        <scheme val="minor"/>
      </rPr>
      <t>T-1</t>
    </r>
    <r>
      <rPr>
        <sz val="11"/>
        <color theme="1"/>
        <rFont val="Arial"/>
        <family val="2"/>
        <scheme val="minor"/>
      </rPr>
      <t xml:space="preserve"> = SONIA(beg)</t>
    </r>
    <r>
      <rPr>
        <vertAlign val="subscript"/>
        <sz val="11"/>
        <color theme="1"/>
        <rFont val="Arial"/>
        <family val="2"/>
        <scheme val="minor"/>
      </rPr>
      <t>T</t>
    </r>
    <r>
      <rPr>
        <sz val="11"/>
        <color theme="1"/>
        <rFont val="Arial"/>
        <family val="2"/>
        <scheme val="minor"/>
      </rPr>
      <t>, fill out those cells.</t>
    </r>
  </si>
  <si>
    <t>5. Calculate the adjacent SONIA Start/End using the formulas above.</t>
  </si>
  <si>
    <r>
      <t xml:space="preserve">        9.2 The joint probabilities are simple multiplications of the individual hike size Probs. (e.g. Prob(50bps)</t>
    </r>
    <r>
      <rPr>
        <vertAlign val="subscript"/>
        <sz val="11"/>
        <color theme="1"/>
        <rFont val="Arial"/>
        <family val="2"/>
        <scheme val="minor"/>
      </rPr>
      <t>T-1</t>
    </r>
    <r>
      <rPr>
        <sz val="11"/>
        <color theme="1"/>
        <rFont val="Arial"/>
        <family val="2"/>
        <scheme val="minor"/>
      </rPr>
      <t xml:space="preserve"> * Prob(50bps)</t>
    </r>
    <r>
      <rPr>
        <vertAlign val="subscript"/>
        <sz val="11"/>
        <color theme="1"/>
        <rFont val="Arial"/>
        <family val="2"/>
        <scheme val="minor"/>
      </rPr>
      <t>T</t>
    </r>
    <r>
      <rPr>
        <sz val="11"/>
        <color theme="1"/>
        <rFont val="Arial"/>
        <family val="2"/>
        <scheme val="minor"/>
      </rPr>
      <t>).</t>
    </r>
  </si>
  <si>
    <t>7. Calculate the # of 25bp hikes based off of Quarterly Change (Col. H):</t>
  </si>
  <si>
    <t>As there will be BoE MoC's meeting in the following quarter, we need to take into account of the over or underestimation of the probability of rate cut/hike as a result of the presence of the MoC meeting.</t>
  </si>
  <si>
    <t xml:space="preserve">This means, if (the last of) the MoC within the contract period announces a rate hike, the implied SONIA(End)T&lt;SONIA(Avg)T-1. </t>
  </si>
  <si>
    <t>Understanding the CME Group FedWatch Tool Methodology - CME Group</t>
  </si>
  <si>
    <t>Three Month SONIA Index Futures Pricing</t>
  </si>
  <si>
    <t>We can take this into consideration and caveat, or assuming that SONIA(End)T = SONIA(Avg)T-1, where T is the Quarter the Future Contract covers over which we are interested in the MOC's probability of rate hike/cut.# (i.e. T-1 is the anchor period)</t>
  </si>
  <si>
    <t>Quarterly Change</t>
  </si>
  <si>
    <t>Q4</t>
  </si>
  <si>
    <t>Cut Size</t>
  </si>
  <si>
    <t>25 bp</t>
  </si>
  <si>
    <t>50 bp</t>
  </si>
  <si>
    <t>75 bp</t>
  </si>
  <si>
    <t>2. Find the nearest upcoming month without an MPC meeting.</t>
  </si>
  <si>
    <t>Q2 (No MPC's meeting left on 22/5/2025)</t>
  </si>
  <si>
    <t xml:space="preserve"> </t>
  </si>
  <si>
    <t>From: (Avg. SONIA) = (% days before meet.)*(SONIA Start)+(% days after meet)*(SONIA End)</t>
  </si>
  <si>
    <t>Q3</t>
  </si>
  <si>
    <t>0bps</t>
  </si>
  <si>
    <t>NB: In the UK it doesn't appear to have an equivalence of forward guidance target rate range. So the closest we have would be the SONIA rate itself</t>
  </si>
  <si>
    <t>CFA formula on the implied probability of rate hike/cut: Implied EFFR - Current Federal fund rate target/(0.25), given each rate hike/cut is by 25bps</t>
  </si>
  <si>
    <t xml:space="preserve">Current SONIA rate </t>
  </si>
  <si>
    <t>Probability of a rate hike/cut</t>
  </si>
  <si>
    <t xml:space="preserve">The problem with the BoE is that, unlike FED, it does not provide a forward guidance on their target range of where interest rate will be. </t>
  </si>
  <si>
    <t>Q1</t>
  </si>
  <si>
    <t>6. Calculate the Quartly Change for the quarter with MPC meetings (Col. G).</t>
  </si>
  <si>
    <t>8. We can start calculating the probability tree - start with the nearest MPC meeting:</t>
  </si>
  <si>
    <t>Sources:</t>
  </si>
  <si>
    <r>
      <t xml:space="preserve">This implies </t>
    </r>
    <r>
      <rPr>
        <b/>
        <i/>
        <sz val="11"/>
        <color rgb="FFFF0000"/>
        <rFont val="Arial"/>
        <family val="2"/>
        <scheme val="minor"/>
      </rPr>
      <t>13%</t>
    </r>
    <r>
      <rPr>
        <b/>
        <i/>
        <sz val="11"/>
        <color theme="1"/>
        <rFont val="Arial"/>
        <family val="2"/>
        <scheme val="minor"/>
      </rPr>
      <t xml:space="preserve"> of 1 rate cut only in the next</t>
    </r>
    <r>
      <rPr>
        <b/>
        <i/>
        <sz val="11"/>
        <color rgb="FFFF0000"/>
        <rFont val="Arial"/>
        <family val="2"/>
        <scheme val="minor"/>
      </rPr>
      <t xml:space="preserve"> 2</t>
    </r>
    <r>
      <rPr>
        <b/>
        <i/>
        <sz val="11"/>
        <color theme="1"/>
        <rFont val="Arial"/>
        <family val="2"/>
        <scheme val="minor"/>
      </rPr>
      <t xml:space="preserve"> MPC meetings and </t>
    </r>
    <r>
      <rPr>
        <b/>
        <i/>
        <sz val="11"/>
        <color rgb="FFFF0000"/>
        <rFont val="Arial"/>
        <family val="2"/>
        <scheme val="minor"/>
      </rPr>
      <t>81%</t>
    </r>
    <r>
      <rPr>
        <b/>
        <i/>
        <sz val="11"/>
        <color theme="1"/>
        <rFont val="Arial"/>
        <family val="2"/>
        <scheme val="minor"/>
      </rPr>
      <t xml:space="preserve"> of 1 rate cut in the next </t>
    </r>
    <r>
      <rPr>
        <b/>
        <sz val="11"/>
        <color rgb="FFFF0000"/>
        <rFont val="Arial"/>
        <family val="2"/>
        <scheme val="minor"/>
      </rPr>
      <t>4</t>
    </r>
    <r>
      <rPr>
        <b/>
        <sz val="11"/>
        <color theme="1"/>
        <rFont val="Arial"/>
        <family val="2"/>
        <scheme val="minor"/>
      </rPr>
      <t xml:space="preserve"> meetings.</t>
    </r>
  </si>
  <si>
    <t xml:space="preserve">If we are willing to assume the current SONIA rate to be proxy of the target range (which we shouldn't), then we can obtain the implied probability of rate hike/cut. However, that will be more of an expected target range by the market of where rate might be at the end of the current contract. </t>
  </si>
  <si>
    <t>May</t>
  </si>
  <si>
    <r>
      <t xml:space="preserve">M = # of days </t>
    </r>
    <r>
      <rPr>
        <b/>
        <sz val="11"/>
        <color theme="1"/>
        <rFont val="Arial"/>
        <family val="2"/>
        <scheme val="minor"/>
      </rPr>
      <t>after</t>
    </r>
    <r>
      <rPr>
        <sz val="11"/>
        <color theme="1"/>
        <rFont val="Arial"/>
        <family val="2"/>
        <scheme val="minor"/>
      </rPr>
      <t xml:space="preserve"> the LAST MPC until the delivery date of the 1-months SONIA contract</t>
    </r>
  </si>
  <si>
    <r>
      <t xml:space="preserve">N = # of days </t>
    </r>
    <r>
      <rPr>
        <b/>
        <sz val="11"/>
        <color theme="1"/>
        <rFont val="Arial"/>
        <family val="2"/>
        <scheme val="minor"/>
      </rPr>
      <t>before</t>
    </r>
    <r>
      <rPr>
        <sz val="11"/>
        <color theme="1"/>
        <rFont val="Arial"/>
        <family val="2"/>
        <scheme val="minor"/>
      </rPr>
      <t xml:space="preserve"> the LAST MPC that the 1-months SONIA contract cover </t>
    </r>
  </si>
  <si>
    <t>April</t>
  </si>
  <si>
    <t>Jun</t>
  </si>
  <si>
    <t>June (Start)</t>
  </si>
  <si>
    <t>June (Avg)</t>
  </si>
  <si>
    <t>June (End)</t>
  </si>
  <si>
    <t>April (End)</t>
  </si>
  <si>
    <t>April (Avg)</t>
  </si>
  <si>
    <t>April (Start)</t>
  </si>
  <si>
    <t>No meeting</t>
  </si>
  <si>
    <t>Meet at 18</t>
  </si>
  <si>
    <t>Meet on 30</t>
  </si>
  <si>
    <r>
      <t xml:space="preserve"># of 25bp </t>
    </r>
    <r>
      <rPr>
        <b/>
        <sz val="11"/>
        <color theme="8"/>
        <rFont val="Arial"/>
        <family val="2"/>
        <scheme val="minor"/>
      </rPr>
      <t>Hikes</t>
    </r>
    <r>
      <rPr>
        <b/>
        <sz val="11"/>
        <color theme="1"/>
        <rFont val="Arial"/>
        <family val="2"/>
        <scheme val="minor"/>
      </rPr>
      <t xml:space="preserve"> /</t>
    </r>
    <r>
      <rPr>
        <b/>
        <sz val="11"/>
        <color rgb="FFFF0000"/>
        <rFont val="Arial"/>
        <family val="2"/>
        <scheme val="minor"/>
      </rPr>
      <t>Cut</t>
    </r>
  </si>
  <si>
    <r>
      <t>Hike/Cut Size Probabilities</t>
    </r>
    <r>
      <rPr>
        <b/>
        <sz val="11"/>
        <color theme="1"/>
        <rFont val="Arial"/>
        <family val="2"/>
        <scheme val="minor"/>
      </rPr>
      <t xml:space="preserve"> for the next MPC</t>
    </r>
    <r>
      <rPr>
        <sz val="11"/>
        <color theme="1"/>
        <rFont val="Arial"/>
        <family val="2"/>
        <scheme val="minor"/>
      </rPr>
      <t xml:space="preserve"> meeting</t>
    </r>
  </si>
  <si>
    <r>
      <t>Hike/Cut Size Probabilities</t>
    </r>
    <r>
      <rPr>
        <b/>
        <sz val="11"/>
        <color theme="1"/>
        <rFont val="Arial"/>
        <family val="2"/>
        <scheme val="minor"/>
      </rPr>
      <t xml:space="preserve"> for the next  MPC</t>
    </r>
    <r>
      <rPr>
        <sz val="11"/>
        <color theme="1"/>
        <rFont val="Arial"/>
        <family val="2"/>
        <scheme val="minor"/>
      </rPr>
      <t xml:space="preserve"> meeting</t>
    </r>
  </si>
  <si>
    <t>(Context: Iran-US/Israel War)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</si>
</sst>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&quot;Quarter &quot;0"/>
    <numFmt numFmtId="166" formatCode="0%;0%;0%"/>
  </numFmts>
  <fonts count="11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i/>
      <sz val="11"/>
      <color theme="1"/>
      <name val="Arial"/>
      <family val="2"/>
      <scheme val="minor"/>
    </font>
    <font>
      <vertAlign val="subscript"/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i/>
      <sz val="11"/>
      <color rgb="FFFF0000"/>
      <name val="Arial"/>
      <family val="2"/>
      <scheme val="minor"/>
    </font>
    <font>
      <b/>
      <sz val="11"/>
      <color theme="8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79">
    <xf numFmtId="0" fontId="0" fillId="0" borderId="0" xfId="0"/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0" borderId="0" xfId="0" applyAlignment="1">
      <alignment vertical="center"/>
    </xf>
    <xf numFmtId="9" fontId="0" fillId="0" borderId="0" xfId="1" applyFont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0" fontId="0" fillId="0" borderId="2" xfId="0" applyBorder="1"/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1" xfId="0" applyBorder="1"/>
    <xf numFmtId="0" fontId="0" fillId="0" borderId="10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 vertical="center" wrapText="1"/>
    </xf>
    <xf numFmtId="0" fontId="0" fillId="0" borderId="9" xfId="0" applyBorder="1"/>
    <xf numFmtId="164" fontId="0" fillId="2" borderId="0" xfId="0" applyNumberFormat="1" applyFill="1"/>
    <xf numFmtId="0" fontId="0" fillId="2" borderId="0" xfId="0" applyFill="1"/>
    <xf numFmtId="0" fontId="0" fillId="3" borderId="0" xfId="0" applyFill="1"/>
    <xf numFmtId="1" fontId="0" fillId="4" borderId="2" xfId="0" applyNumberFormat="1" applyFill="1" applyBorder="1"/>
    <xf numFmtId="164" fontId="0" fillId="4" borderId="2" xfId="0" applyNumberFormat="1" applyFill="1" applyBorder="1"/>
    <xf numFmtId="0" fontId="0" fillId="4" borderId="0" xfId="0" applyFill="1"/>
    <xf numFmtId="0" fontId="0" fillId="5" borderId="0" xfId="0" applyFill="1"/>
    <xf numFmtId="165" fontId="0" fillId="0" borderId="0" xfId="0" applyNumberFormat="1"/>
    <xf numFmtId="17" fontId="3" fillId="0" borderId="0" xfId="0" applyNumberFormat="1" applyFont="1"/>
    <xf numFmtId="14" fontId="2" fillId="0" borderId="0" xfId="0" applyNumberFormat="1" applyFont="1"/>
    <xf numFmtId="1" fontId="0" fillId="0" borderId="0" xfId="0" applyNumberFormat="1"/>
    <xf numFmtId="0" fontId="2" fillId="0" borderId="6" xfId="0" applyFont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164" fontId="2" fillId="3" borderId="0" xfId="0" applyNumberFormat="1" applyFont="1" applyFill="1"/>
    <xf numFmtId="0" fontId="0" fillId="6" borderId="0" xfId="0" applyFill="1"/>
    <xf numFmtId="165" fontId="2" fillId="0" borderId="9" xfId="0" applyNumberFormat="1" applyFont="1" applyBorder="1"/>
    <xf numFmtId="165" fontId="2" fillId="0" borderId="8" xfId="0" applyNumberFormat="1" applyFont="1" applyBorder="1"/>
    <xf numFmtId="17" fontId="7" fillId="0" borderId="14" xfId="0" applyNumberFormat="1" applyFont="1" applyBorder="1"/>
    <xf numFmtId="17" fontId="7" fillId="0" borderId="2" xfId="0" applyNumberFormat="1" applyFont="1" applyBorder="1"/>
    <xf numFmtId="164" fontId="2" fillId="2" borderId="3" xfId="0" applyNumberFormat="1" applyFont="1" applyFill="1" applyBorder="1"/>
    <xf numFmtId="0" fontId="5" fillId="0" borderId="0" xfId="2"/>
    <xf numFmtId="9" fontId="2" fillId="5" borderId="0" xfId="1" applyFont="1" applyFill="1"/>
    <xf numFmtId="9" fontId="2" fillId="5" borderId="2" xfId="1" applyFont="1" applyFill="1" applyBorder="1"/>
    <xf numFmtId="9" fontId="0" fillId="0" borderId="1" xfId="1" applyFont="1" applyBorder="1"/>
    <xf numFmtId="9" fontId="0" fillId="0" borderId="0" xfId="1" applyFont="1" applyBorder="1"/>
    <xf numFmtId="1" fontId="0" fillId="0" borderId="1" xfId="0" applyNumberFormat="1" applyBorder="1"/>
    <xf numFmtId="164" fontId="0" fillId="0" borderId="1" xfId="0" applyNumberFormat="1" applyBorder="1"/>
    <xf numFmtId="164" fontId="8" fillId="0" borderId="0" xfId="0" applyNumberFormat="1" applyFont="1"/>
    <xf numFmtId="164" fontId="8" fillId="0" borderId="1" xfId="0" applyNumberFormat="1" applyFont="1" applyBorder="1"/>
    <xf numFmtId="164" fontId="0" fillId="3" borderId="0" xfId="0" applyNumberFormat="1" applyFill="1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0" borderId="14" xfId="0" applyBorder="1"/>
    <xf numFmtId="9" fontId="2" fillId="5" borderId="14" xfId="1" applyFont="1" applyFill="1" applyBorder="1"/>
    <xf numFmtId="9" fontId="2" fillId="5" borderId="0" xfId="1" applyFont="1" applyFill="1" applyBorder="1"/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/>
    <xf numFmtId="0" fontId="0" fillId="0" borderId="14" xfId="0" applyBorder="1" applyAlignment="1">
      <alignment horizontal="right"/>
    </xf>
    <xf numFmtId="0" fontId="0" fillId="0" borderId="3" xfId="0" applyBorder="1" applyAlignment="1">
      <alignment horizontal="right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9" fontId="0" fillId="0" borderId="2" xfId="1" applyFont="1" applyBorder="1"/>
    <xf numFmtId="0" fontId="2" fillId="0" borderId="9" xfId="0" applyFont="1" applyBorder="1"/>
    <xf numFmtId="9" fontId="0" fillId="0" borderId="4" xfId="1" applyFont="1" applyBorder="1"/>
    <xf numFmtId="0" fontId="7" fillId="0" borderId="0" xfId="0" applyFont="1"/>
    <xf numFmtId="9" fontId="0" fillId="0" borderId="0" xfId="0" applyNumberFormat="1"/>
    <xf numFmtId="166" fontId="0" fillId="0" borderId="0" xfId="1" applyNumberFormat="1" applyFont="1" applyBorder="1"/>
    <xf numFmtId="17" fontId="9" fillId="0" borderId="14" xfId="0" applyNumberFormat="1" applyFont="1" applyBorder="1"/>
    <xf numFmtId="17" fontId="9" fillId="0" borderId="2" xfId="0" applyNumberFormat="1" applyFont="1" applyBorder="1"/>
    <xf numFmtId="17" fontId="9" fillId="0" borderId="0" xfId="0" applyNumberFormat="1" applyFont="1"/>
    <xf numFmtId="17" fontId="9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AC1ED"/>
      <color rgb="FFC59EE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Probability of rate hike - April meeting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Model_example!$J$19:$K$19</c:f>
              <c:strCache>
                <c:ptCount val="2"/>
                <c:pt idx="0">
                  <c:v>0bps</c:v>
                </c:pt>
                <c:pt idx="1">
                  <c:v>25bps</c:v>
                </c:pt>
              </c:strCache>
            </c:strRef>
          </c:cat>
          <c:val>
            <c:numRef>
              <c:f>Model_example!$J$23:$K$23</c:f>
              <c:numCache>
                <c:formatCode>0%</c:formatCode>
                <c:ptCount val="2"/>
                <c:pt idx="0">
                  <c:v>0.48000000000001819</c:v>
                </c:pt>
                <c:pt idx="1">
                  <c:v>0.51999999999998181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9E-4D22-B122-FAD6AF543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5472736"/>
        <c:axId val="74546937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Model_example!$J$19:$K$19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Model_example!$J$20:$K$20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19E-4D22-B122-FAD6AF543E4F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Model_example!$J$19:$K$19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Model_example!$J$21:$K$21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19E-4D22-B122-FAD6AF543E4F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Model_example!$J$19:$K$19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Model_example!$J$22:$K$22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19E-4D22-B122-FAD6AF543E4F}"/>
                  </c:ext>
                </c:extLst>
              </c15:ser>
            </c15:filteredBarSeries>
          </c:ext>
        </c:extLst>
      </c:barChart>
      <c:catAx>
        <c:axId val="74547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469376"/>
        <c:crosses val="autoZero"/>
        <c:auto val="1"/>
        <c:lblAlgn val="ctr"/>
        <c:lblOffset val="100"/>
        <c:noMultiLvlLbl val="0"/>
      </c:catAx>
      <c:valAx>
        <c:axId val="74546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472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Probability of rate hike - June meeting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Model_example!$J$31:$K$31</c:f>
              <c:strCache>
                <c:ptCount val="2"/>
                <c:pt idx="0">
                  <c:v>0bps</c:v>
                </c:pt>
                <c:pt idx="1">
                  <c:v>25bps</c:v>
                </c:pt>
              </c:strCache>
            </c:strRef>
          </c:cat>
          <c:val>
            <c:numRef>
              <c:f>Model_example!$J$34:$K$34</c:f>
              <c:numCache>
                <c:formatCode>0%</c:formatCode>
                <c:ptCount val="2"/>
                <c:pt idx="0">
                  <c:v>0.12307692307695106</c:v>
                </c:pt>
                <c:pt idx="1">
                  <c:v>0.87692307692304894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41-4870-9617-0CC4DFF58C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7929232"/>
        <c:axId val="113792971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Model_example!$J$31:$K$31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Model_example!$J$32:$K$32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E41-4870-9617-0CC4DFF58C97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Model_example!$J$31:$K$31</c15:sqref>
                        </c15:formulaRef>
                      </c:ext>
                    </c:extLst>
                    <c:strCache>
                      <c:ptCount val="2"/>
                      <c:pt idx="0">
                        <c:v>0bps</c:v>
                      </c:pt>
                      <c:pt idx="1">
                        <c:v>25bps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Model_example!$J$33:$K$33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E41-4870-9617-0CC4DFF58C97}"/>
                  </c:ext>
                </c:extLst>
              </c15:ser>
            </c15:filteredBarSeries>
          </c:ext>
        </c:extLst>
      </c:barChart>
      <c:catAx>
        <c:axId val="113792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929712"/>
        <c:crosses val="autoZero"/>
        <c:auto val="1"/>
        <c:lblAlgn val="ctr"/>
        <c:lblOffset val="100"/>
        <c:noMultiLvlLbl val="0"/>
      </c:catAx>
      <c:valAx>
        <c:axId val="113792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929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537883</xdr:colOff>
      <xdr:row>6</xdr:row>
      <xdr:rowOff>113181</xdr:rowOff>
    </xdr:from>
    <xdr:to>
      <xdr:col>18</xdr:col>
      <xdr:colOff>123266</xdr:colOff>
      <xdr:row>19</xdr:row>
      <xdr:rowOff>77322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2E0A71-EBFD-2F40-D839-3942A16179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818029</xdr:colOff>
      <xdr:row>25</xdr:row>
      <xdr:rowOff>23531</xdr:rowOff>
    </xdr:from>
    <xdr:to>
      <xdr:col>18</xdr:col>
      <xdr:colOff>403412</xdr:colOff>
      <xdr:row>37</xdr:row>
      <xdr:rowOff>166967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EA27F2-6C03-A032-7276-CA84FE6D79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ME Palette theme">
  <a:themeElements>
    <a:clrScheme name="CME brand 2020">
      <a:dk1>
        <a:srgbClr val="000000"/>
      </a:dk1>
      <a:lt1>
        <a:srgbClr val="FFFFFF"/>
      </a:lt1>
      <a:dk2>
        <a:srgbClr val="25323C"/>
      </a:dk2>
      <a:lt2>
        <a:srgbClr val="EBEDEE"/>
      </a:lt2>
      <a:accent1>
        <a:srgbClr val="112B4A"/>
      </a:accent1>
      <a:accent2>
        <a:srgbClr val="25A9E0"/>
      </a:accent2>
      <a:accent3>
        <a:srgbClr val="5A6874"/>
      </a:accent3>
      <a:accent4>
        <a:srgbClr val="006EB6"/>
      </a:accent4>
      <a:accent5>
        <a:srgbClr val="00E473"/>
      </a:accent5>
      <a:accent6>
        <a:srgbClr val="E3E935"/>
      </a:accent6>
      <a:hlink>
        <a:srgbClr val="3CC8FF"/>
      </a:hlink>
      <a:folHlink>
        <a:srgbClr val="006EB6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CME Palette theme" id="{A06FE949-3AC6-8B4D-BB68-C565F623B8FB}" vid="{7B54AA39-B7CB-8449-9C96-BF15C93D8CC7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ice.com/products/68361266/Three-Month-SONIA-Index-Futures/data" TargetMode="External"/><Relationship Id="rId1" Type="http://schemas.openxmlformats.org/officeDocument/2006/relationships/hyperlink" Target="https://www.cmegroup.com/articles/2023/understanding-the-cme-group-fedwatch-tool-methodology.html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C657-1EA8-486E-9F46-909F319FC391}">
  <dimension ref="A1:U60"/>
  <sheetViews>
    <sheetView tabSelected="1" zoomScale="85" zoomScaleNormal="85" workbookViewId="0">
      <selection activeCell="I1" sqref="I1"/>
    </sheetView>
  </sheetViews>
  <sheetFormatPr defaultColWidth="8.875" defaultRowHeight="14.25" x14ac:dyDescent="0.2"/>
  <cols>
    <col min="1" max="1" width="19" customWidth="1"/>
    <col min="2" max="2" width="36.5" customWidth="1"/>
    <col min="3" max="3" width="13.375" bestFit="1" customWidth="1"/>
    <col min="4" max="4" width="11.625" customWidth="1"/>
    <col min="5" max="5" width="10.625" customWidth="1"/>
    <col min="7" max="7" width="9.875" bestFit="1" customWidth="1"/>
    <col min="9" max="9" width="10.875" customWidth="1"/>
    <col min="10" max="10" width="10.5" customWidth="1"/>
    <col min="13" max="13" width="19.125" customWidth="1"/>
    <col min="14" max="14" width="15" customWidth="1"/>
    <col min="15" max="15" width="15.5" customWidth="1"/>
    <col min="16" max="16" width="13.5" customWidth="1"/>
    <col min="17" max="17" width="26" customWidth="1"/>
    <col min="18" max="18" width="10.5" bestFit="1" customWidth="1"/>
    <col min="20" max="20" width="30.75" customWidth="1"/>
    <col min="21" max="21" width="9.875" bestFit="1" customWidth="1"/>
  </cols>
  <sheetData>
    <row r="1" spans="1:21" ht="15" x14ac:dyDescent="0.25">
      <c r="B1" s="3" t="s">
        <v>21</v>
      </c>
      <c r="C1" s="29">
        <f ca="1">TODAY()</f>
        <v>46110</v>
      </c>
      <c r="D1" t="s">
        <v>77</v>
      </c>
    </row>
    <row r="2" spans="1:21" ht="15" x14ac:dyDescent="0.25">
      <c r="B2" s="3" t="s">
        <v>20</v>
      </c>
      <c r="C2" s="29">
        <f>DATEVALUE("24/03/2026")</f>
        <v>46105</v>
      </c>
      <c r="N2" s="3" t="s">
        <v>46</v>
      </c>
    </row>
    <row r="3" spans="1:21" x14ac:dyDescent="0.2">
      <c r="B3" s="39"/>
      <c r="C3" s="39">
        <v>46113</v>
      </c>
      <c r="D3" s="39">
        <v>46143</v>
      </c>
      <c r="E3" s="39">
        <v>46174</v>
      </c>
      <c r="F3" s="39">
        <v>46204</v>
      </c>
      <c r="G3" s="39">
        <v>46235</v>
      </c>
      <c r="H3" s="1"/>
      <c r="I3" s="1"/>
      <c r="J3" s="1"/>
      <c r="K3" s="1"/>
      <c r="L3" s="1"/>
      <c r="N3" s="19" t="s">
        <v>26</v>
      </c>
      <c r="O3" s="15"/>
      <c r="P3" s="15"/>
      <c r="Q3" s="15"/>
      <c r="R3" s="15"/>
      <c r="S3" s="15"/>
      <c r="T3" s="15"/>
      <c r="U3" s="16"/>
    </row>
    <row r="4" spans="1:21" ht="15" x14ac:dyDescent="0.25">
      <c r="A4" t="s">
        <v>19</v>
      </c>
      <c r="B4" s="28"/>
      <c r="C4" s="72" t="s">
        <v>73</v>
      </c>
      <c r="D4" s="73" t="s">
        <v>71</v>
      </c>
      <c r="E4" s="74" t="s">
        <v>72</v>
      </c>
      <c r="F4" s="75" t="s">
        <v>73</v>
      </c>
      <c r="G4" s="76" t="s">
        <v>71</v>
      </c>
      <c r="H4" s="2"/>
      <c r="I4" s="2"/>
      <c r="J4" s="2"/>
      <c r="K4" s="2"/>
      <c r="L4" s="2"/>
      <c r="N4" s="17" t="s">
        <v>27</v>
      </c>
      <c r="O4" s="14"/>
      <c r="P4" s="14"/>
      <c r="Q4" s="14"/>
      <c r="R4" s="14"/>
      <c r="S4" s="14"/>
      <c r="T4" s="14"/>
      <c r="U4" s="10"/>
    </row>
    <row r="5" spans="1:21" ht="15" x14ac:dyDescent="0.25">
      <c r="B5" s="4"/>
      <c r="C5" s="41">
        <v>96.265000000000001</v>
      </c>
      <c r="D5" s="41">
        <v>96.135000000000005</v>
      </c>
      <c r="E5" s="20">
        <v>96.04</v>
      </c>
      <c r="F5" s="4">
        <v>95.86</v>
      </c>
      <c r="G5" s="4"/>
      <c r="H5" s="4"/>
      <c r="I5" s="4"/>
      <c r="J5" s="4"/>
      <c r="K5" s="4"/>
      <c r="L5" s="4"/>
    </row>
    <row r="7" spans="1:21" ht="15" x14ac:dyDescent="0.25">
      <c r="B7" s="3"/>
    </row>
    <row r="8" spans="1:21" x14ac:dyDescent="0.2">
      <c r="C8" s="2" t="s">
        <v>1</v>
      </c>
      <c r="D8" s="2" t="s">
        <v>0</v>
      </c>
    </row>
    <row r="9" spans="1:21" x14ac:dyDescent="0.2">
      <c r="B9" s="7" t="s">
        <v>63</v>
      </c>
      <c r="C9" s="4">
        <f>C5</f>
        <v>96.265000000000001</v>
      </c>
      <c r="D9" s="4">
        <f>100-C9</f>
        <v>3.7349999999999994</v>
      </c>
    </row>
    <row r="10" spans="1:21" x14ac:dyDescent="0.2">
      <c r="B10" s="7" t="s">
        <v>60</v>
      </c>
      <c r="C10" s="4">
        <f>D5</f>
        <v>96.135000000000005</v>
      </c>
      <c r="D10" s="4">
        <f t="shared" ref="D10:D11" si="0">100-C10</f>
        <v>3.8649999999999949</v>
      </c>
    </row>
    <row r="11" spans="1:21" x14ac:dyDescent="0.2">
      <c r="B11" s="7" t="s">
        <v>64</v>
      </c>
      <c r="C11" s="4">
        <f>E5</f>
        <v>96.04</v>
      </c>
      <c r="D11" s="4">
        <f t="shared" si="0"/>
        <v>3.9599999999999937</v>
      </c>
    </row>
    <row r="13" spans="1:21" ht="15" x14ac:dyDescent="0.25">
      <c r="F13" t="s">
        <v>61</v>
      </c>
    </row>
    <row r="14" spans="1:21" ht="15" x14ac:dyDescent="0.25">
      <c r="B14" s="3"/>
      <c r="F14" t="s">
        <v>62</v>
      </c>
    </row>
    <row r="15" spans="1:21" x14ac:dyDescent="0.2">
      <c r="C15" s="2" t="s">
        <v>1</v>
      </c>
      <c r="D15" s="2" t="s">
        <v>0</v>
      </c>
      <c r="F15" t="s">
        <v>23</v>
      </c>
      <c r="G15" s="30">
        <v>0</v>
      </c>
    </row>
    <row r="16" spans="1:21" x14ac:dyDescent="0.2">
      <c r="B16" s="7" t="s">
        <v>60</v>
      </c>
      <c r="C16" s="4">
        <f>D5</f>
        <v>96.135000000000005</v>
      </c>
      <c r="D16" s="4">
        <f>100-C16</f>
        <v>3.8649999999999949</v>
      </c>
      <c r="F16" t="s">
        <v>22</v>
      </c>
      <c r="G16" s="30">
        <v>30</v>
      </c>
    </row>
    <row r="18" spans="1:14" ht="15" x14ac:dyDescent="0.25">
      <c r="B18" s="3" t="s">
        <v>60</v>
      </c>
      <c r="J18" s="77" t="s">
        <v>75</v>
      </c>
      <c r="K18" s="78"/>
      <c r="L18" s="78"/>
      <c r="M18" s="78"/>
      <c r="N18" s="61"/>
    </row>
    <row r="19" spans="1:14" ht="45" x14ac:dyDescent="0.2">
      <c r="B19" s="10"/>
      <c r="C19" s="11" t="s">
        <v>3</v>
      </c>
      <c r="D19" s="12" t="s">
        <v>6</v>
      </c>
      <c r="E19" s="12" t="s">
        <v>1</v>
      </c>
      <c r="F19" s="18" t="s">
        <v>0</v>
      </c>
      <c r="G19" s="18" t="s">
        <v>37</v>
      </c>
      <c r="H19" s="31" t="s">
        <v>74</v>
      </c>
      <c r="I19" s="13" t="s">
        <v>25</v>
      </c>
      <c r="J19" s="58" t="s">
        <v>48</v>
      </c>
      <c r="K19" s="59" t="s">
        <v>8</v>
      </c>
      <c r="L19" s="59" t="s">
        <v>9</v>
      </c>
      <c r="M19" s="59" t="s">
        <v>10</v>
      </c>
      <c r="N19" s="60" t="s">
        <v>11</v>
      </c>
    </row>
    <row r="20" spans="1:14" x14ac:dyDescent="0.2">
      <c r="B20" s="32"/>
      <c r="I20" s="9"/>
      <c r="J20" s="55"/>
      <c r="N20" s="9"/>
    </row>
    <row r="21" spans="1:14" x14ac:dyDescent="0.2">
      <c r="A21" s="8" t="s">
        <v>5</v>
      </c>
      <c r="B21" s="34" t="s">
        <v>60</v>
      </c>
      <c r="E21" s="20">
        <f>D5</f>
        <v>96.135000000000005</v>
      </c>
      <c r="F21" s="51">
        <f t="shared" ref="F21" si="1">100-E21</f>
        <v>3.8649999999999949</v>
      </c>
      <c r="I21" s="9"/>
      <c r="J21" s="55"/>
      <c r="L21" s="46"/>
      <c r="M21" s="46"/>
      <c r="N21" s="9"/>
    </row>
    <row r="22" spans="1:14" ht="15" x14ac:dyDescent="0.25">
      <c r="B22" s="33" t="s">
        <v>68</v>
      </c>
      <c r="C22" s="30">
        <f>G15</f>
        <v>0</v>
      </c>
      <c r="D22" s="6">
        <f>C22/(C22+C24)</f>
        <v>0</v>
      </c>
      <c r="E22" s="4">
        <f>E21</f>
        <v>96.135000000000005</v>
      </c>
      <c r="F22" s="51">
        <f>100-E22</f>
        <v>3.8649999999999949</v>
      </c>
      <c r="G22" s="4">
        <f>F22-F24</f>
        <v>0.12999999999999545</v>
      </c>
      <c r="H22" s="35">
        <f>G22/25*100</f>
        <v>0.51999999999998181</v>
      </c>
      <c r="I22" s="23">
        <f>ABS(TRUNC(H22,0))</f>
        <v>0</v>
      </c>
      <c r="L22" s="4"/>
      <c r="M22" s="4"/>
      <c r="N22" s="9"/>
    </row>
    <row r="23" spans="1:14" ht="15" x14ac:dyDescent="0.25">
      <c r="B23" s="33" t="s">
        <v>69</v>
      </c>
      <c r="E23" s="20">
        <f>C5</f>
        <v>96.265000000000001</v>
      </c>
      <c r="F23" s="4">
        <f>100-E23</f>
        <v>3.7349999999999994</v>
      </c>
      <c r="I23" s="24">
        <f>MOD(ABS(H22),1)</f>
        <v>0.51999999999998181</v>
      </c>
      <c r="J23" s="56">
        <f>IF(I22=0,1-I23,0)</f>
        <v>0.48000000000001819</v>
      </c>
      <c r="K23" s="43">
        <f>IF(I22=0,I23,IF(I22=1,1-I23,0))</f>
        <v>0.51999999999998181</v>
      </c>
      <c r="L23" s="43">
        <f>IF(I22=0,I23-I23,IF(I22=1,I23,IF(I22=2,1-I23,0)))</f>
        <v>0</v>
      </c>
      <c r="M23" s="43">
        <v>0</v>
      </c>
      <c r="N23" s="44">
        <v>0</v>
      </c>
    </row>
    <row r="24" spans="1:14" x14ac:dyDescent="0.2">
      <c r="B24" s="34" t="s">
        <v>70</v>
      </c>
      <c r="C24" s="47">
        <f>G16</f>
        <v>30</v>
      </c>
      <c r="D24" s="45">
        <f>C24/(C24+C22)</f>
        <v>1</v>
      </c>
      <c r="E24" s="50">
        <f>((E23)-(D22*E22))/D24</f>
        <v>96.265000000000001</v>
      </c>
      <c r="F24" s="48">
        <f>100-E24</f>
        <v>3.7349999999999994</v>
      </c>
      <c r="G24" s="14"/>
      <c r="H24" s="14"/>
      <c r="I24" s="10"/>
      <c r="J24" s="17"/>
      <c r="K24" s="14"/>
      <c r="L24" s="45"/>
      <c r="M24" s="45"/>
      <c r="N24" s="10"/>
    </row>
    <row r="25" spans="1:14" x14ac:dyDescent="0.2">
      <c r="C25" s="30"/>
      <c r="D25" s="46"/>
      <c r="E25" s="49"/>
      <c r="F25" s="4"/>
      <c r="L25" s="46"/>
      <c r="M25" s="46"/>
    </row>
    <row r="26" spans="1:14" ht="15" x14ac:dyDescent="0.25">
      <c r="C26" s="30"/>
      <c r="D26" s="46"/>
      <c r="E26" s="49"/>
      <c r="F26" t="s">
        <v>61</v>
      </c>
      <c r="L26" s="46"/>
      <c r="M26" s="46"/>
    </row>
    <row r="27" spans="1:14" ht="15" x14ac:dyDescent="0.25">
      <c r="C27" s="30"/>
      <c r="D27" s="46"/>
      <c r="E27" s="49"/>
      <c r="F27" t="s">
        <v>62</v>
      </c>
      <c r="L27" s="46"/>
      <c r="M27" s="46"/>
    </row>
    <row r="28" spans="1:14" x14ac:dyDescent="0.2">
      <c r="C28" s="30"/>
      <c r="D28" s="46"/>
      <c r="E28" s="49"/>
      <c r="F28" t="s">
        <v>23</v>
      </c>
      <c r="G28" s="30">
        <v>13</v>
      </c>
      <c r="L28" s="46"/>
      <c r="M28" s="46"/>
    </row>
    <row r="29" spans="1:14" x14ac:dyDescent="0.2">
      <c r="F29" t="s">
        <v>22</v>
      </c>
      <c r="G29" s="30">
        <v>17</v>
      </c>
    </row>
    <row r="30" spans="1:14" ht="15" x14ac:dyDescent="0.25">
      <c r="B30" s="3"/>
      <c r="J30" s="77" t="s">
        <v>76</v>
      </c>
      <c r="K30" s="78"/>
      <c r="L30" s="78"/>
      <c r="M30" s="78"/>
      <c r="N30" s="61"/>
    </row>
    <row r="31" spans="1:14" ht="45" x14ac:dyDescent="0.2">
      <c r="B31" s="10"/>
      <c r="C31" s="11" t="s">
        <v>3</v>
      </c>
      <c r="D31" s="12" t="s">
        <v>6</v>
      </c>
      <c r="E31" s="12" t="s">
        <v>1</v>
      </c>
      <c r="F31" s="18" t="s">
        <v>0</v>
      </c>
      <c r="G31" s="18" t="s">
        <v>37</v>
      </c>
      <c r="H31" s="31" t="s">
        <v>24</v>
      </c>
      <c r="I31" s="18" t="s">
        <v>25</v>
      </c>
      <c r="J31" s="58" t="s">
        <v>48</v>
      </c>
      <c r="K31" s="59" t="s">
        <v>8</v>
      </c>
      <c r="L31" s="59" t="s">
        <v>9</v>
      </c>
      <c r="M31" s="59" t="s">
        <v>10</v>
      </c>
      <c r="N31" s="60" t="s">
        <v>11</v>
      </c>
    </row>
    <row r="32" spans="1:14" x14ac:dyDescent="0.2">
      <c r="B32" s="32"/>
      <c r="I32" s="9"/>
      <c r="J32" s="55"/>
      <c r="N32" s="9"/>
    </row>
    <row r="33" spans="1:17" ht="15" x14ac:dyDescent="0.25">
      <c r="B33" s="33" t="s">
        <v>67</v>
      </c>
      <c r="C33" s="30">
        <f>G28</f>
        <v>13</v>
      </c>
      <c r="D33" s="6">
        <f>C33/(C33+C35)</f>
        <v>0.43333333333333335</v>
      </c>
      <c r="E33" s="49">
        <f>(E34-(D35*E35))/D33</f>
        <v>95.915769230769243</v>
      </c>
      <c r="F33" s="4">
        <f>100-E33</f>
        <v>4.0842307692307571</v>
      </c>
      <c r="G33" s="4">
        <f>F33-F35</f>
        <v>0.21923076923076223</v>
      </c>
      <c r="H33" s="35">
        <f>G33/25*100</f>
        <v>0.87692307692304894</v>
      </c>
      <c r="I33" s="23">
        <f>ABS(TRUNC(H33,0))</f>
        <v>0</v>
      </c>
      <c r="J33" s="55"/>
      <c r="L33" s="4"/>
      <c r="M33" s="4"/>
      <c r="N33" s="9"/>
    </row>
    <row r="34" spans="1:17" ht="15" x14ac:dyDescent="0.25">
      <c r="B34" s="33" t="s">
        <v>66</v>
      </c>
      <c r="E34" s="20">
        <f>E5</f>
        <v>96.04</v>
      </c>
      <c r="F34" s="4">
        <f t="shared" ref="F34:F36" si="2">100-E34</f>
        <v>3.9599999999999937</v>
      </c>
      <c r="I34" s="24">
        <f>MOD(ABS(H33),1)</f>
        <v>0.87692307692304894</v>
      </c>
      <c r="J34" s="56">
        <f>IF(I33=0,1-I34,0)</f>
        <v>0.12307692307695106</v>
      </c>
      <c r="K34" s="57">
        <f>IF(I33=0,I34,IF(I33=1,1-I34,0))</f>
        <v>0.87692307692304894</v>
      </c>
      <c r="L34" s="57">
        <f>IF(I33=0,I34-I34,IF(I33=1,I34,IF(I33=2,1-I34,0)))</f>
        <v>0</v>
      </c>
      <c r="M34" s="57">
        <f>IF(K34 + L34 = 1, 0, IF(I33 = 0, 0, IF(I33 = 1, I34, IF(I33 = 2, I34, IF(I33 = 3, 1 - I34, 0)))))</f>
        <v>0</v>
      </c>
      <c r="N34" s="44">
        <v>0</v>
      </c>
    </row>
    <row r="35" spans="1:17" x14ac:dyDescent="0.2">
      <c r="B35" s="33" t="s">
        <v>65</v>
      </c>
      <c r="C35" s="30">
        <f>G29</f>
        <v>17</v>
      </c>
      <c r="D35" s="6">
        <f>C35/(C35+C33)</f>
        <v>0.56666666666666665</v>
      </c>
      <c r="E35" s="4">
        <f>E36</f>
        <v>96.135000000000005</v>
      </c>
      <c r="F35" s="51">
        <f t="shared" si="2"/>
        <v>3.8649999999999949</v>
      </c>
      <c r="I35" s="9"/>
      <c r="J35" s="55"/>
      <c r="L35" s="46"/>
      <c r="M35" s="46"/>
      <c r="N35" s="9"/>
    </row>
    <row r="36" spans="1:17" x14ac:dyDescent="0.2">
      <c r="A36" s="8" t="s">
        <v>5</v>
      </c>
      <c r="B36" s="34" t="s">
        <v>60</v>
      </c>
      <c r="E36" s="20">
        <f>C10</f>
        <v>96.135000000000005</v>
      </c>
      <c r="F36" s="51">
        <f t="shared" si="2"/>
        <v>3.8649999999999949</v>
      </c>
      <c r="I36" s="9"/>
      <c r="J36" s="17"/>
      <c r="K36" s="14"/>
      <c r="L36" s="45"/>
      <c r="M36" s="45"/>
      <c r="N36" s="10"/>
    </row>
    <row r="37" spans="1:17" x14ac:dyDescent="0.2">
      <c r="B37" s="15"/>
      <c r="C37" s="15"/>
      <c r="D37" s="15"/>
      <c r="E37" s="15"/>
      <c r="F37" s="15"/>
      <c r="G37" s="15"/>
      <c r="H37" s="15"/>
      <c r="I37" s="15"/>
    </row>
    <row r="38" spans="1:17" ht="15" x14ac:dyDescent="0.25">
      <c r="N38" s="3"/>
      <c r="O38" s="3"/>
    </row>
    <row r="41" spans="1:17" ht="15" x14ac:dyDescent="0.25">
      <c r="B41" s="3" t="s">
        <v>2</v>
      </c>
      <c r="J41" s="6"/>
      <c r="K41" s="6"/>
    </row>
    <row r="42" spans="1:17" x14ac:dyDescent="0.2">
      <c r="B42" t="s">
        <v>12</v>
      </c>
      <c r="I42" s="6"/>
    </row>
    <row r="43" spans="1:17" x14ac:dyDescent="0.2">
      <c r="B43" s="5" t="s">
        <v>43</v>
      </c>
    </row>
    <row r="44" spans="1:17" x14ac:dyDescent="0.2">
      <c r="B44" s="21" t="s">
        <v>4</v>
      </c>
      <c r="C44" s="21"/>
      <c r="D44" s="21"/>
      <c r="E44" s="21"/>
    </row>
    <row r="45" spans="1:17" ht="18.75" x14ac:dyDescent="0.35">
      <c r="B45" t="s">
        <v>28</v>
      </c>
      <c r="M45" t="s">
        <v>45</v>
      </c>
    </row>
    <row r="46" spans="1:17" x14ac:dyDescent="0.2">
      <c r="B46" t="s">
        <v>29</v>
      </c>
    </row>
    <row r="47" spans="1:17" ht="15" x14ac:dyDescent="0.2">
      <c r="B47" t="s">
        <v>55</v>
      </c>
      <c r="O47" s="53" t="s">
        <v>39</v>
      </c>
      <c r="P47" s="53"/>
      <c r="Q47" s="53"/>
    </row>
    <row r="48" spans="1:17" x14ac:dyDescent="0.2">
      <c r="B48" s="22" t="s">
        <v>31</v>
      </c>
      <c r="C48" s="22"/>
      <c r="D48" s="22"/>
      <c r="E48" s="22"/>
      <c r="F48" s="22"/>
      <c r="G48" s="22"/>
      <c r="H48" s="22"/>
      <c r="O48" s="52" t="s">
        <v>40</v>
      </c>
      <c r="P48" s="54">
        <f>K34</f>
        <v>0.87692307692304894</v>
      </c>
      <c r="Q48" s="54">
        <f>K23</f>
        <v>0.51999999999998181</v>
      </c>
    </row>
    <row r="49" spans="2:17" x14ac:dyDescent="0.2">
      <c r="B49" t="s">
        <v>7</v>
      </c>
      <c r="O49" s="52" t="s">
        <v>41</v>
      </c>
      <c r="P49" s="54">
        <f>L23</f>
        <v>0</v>
      </c>
      <c r="Q49" s="54">
        <f>L34</f>
        <v>0</v>
      </c>
    </row>
    <row r="50" spans="2:17" x14ac:dyDescent="0.2">
      <c r="B50" s="25" t="s">
        <v>13</v>
      </c>
      <c r="C50" s="25"/>
      <c r="D50" s="25"/>
      <c r="E50" s="25"/>
      <c r="F50" s="25"/>
      <c r="G50" s="25"/>
      <c r="H50" s="25"/>
      <c r="I50" s="25"/>
      <c r="J50" s="25"/>
      <c r="O50" s="52" t="s">
        <v>42</v>
      </c>
      <c r="P50" s="54">
        <f>M23</f>
        <v>0</v>
      </c>
      <c r="Q50" s="54">
        <f>M34</f>
        <v>0</v>
      </c>
    </row>
    <row r="51" spans="2:17" x14ac:dyDescent="0.2">
      <c r="B51" s="26" t="s">
        <v>56</v>
      </c>
      <c r="C51" s="26"/>
      <c r="D51" s="26"/>
      <c r="E51" s="26"/>
      <c r="F51" s="26"/>
      <c r="G51" s="26"/>
      <c r="H51" s="26"/>
      <c r="I51" s="26"/>
      <c r="J51" s="26"/>
      <c r="K51" s="26"/>
    </row>
    <row r="52" spans="2:17" x14ac:dyDescent="0.2">
      <c r="B52" s="26" t="s">
        <v>14</v>
      </c>
      <c r="C52" s="26"/>
      <c r="D52" s="26"/>
      <c r="E52" s="26"/>
      <c r="F52" s="26"/>
      <c r="G52" s="26"/>
      <c r="H52" s="26"/>
      <c r="I52" s="26"/>
      <c r="J52" s="26"/>
      <c r="K52" s="26"/>
    </row>
    <row r="53" spans="2:17" x14ac:dyDescent="0.2">
      <c r="B53" s="26" t="s">
        <v>15</v>
      </c>
      <c r="C53" s="26"/>
      <c r="D53" s="26"/>
      <c r="E53" s="26"/>
      <c r="F53" s="26"/>
      <c r="G53" s="26"/>
      <c r="H53" s="26"/>
      <c r="I53" s="26"/>
      <c r="J53" s="26"/>
      <c r="K53" s="26"/>
    </row>
    <row r="54" spans="2:17" x14ac:dyDescent="0.2">
      <c r="B54" s="26" t="s">
        <v>16</v>
      </c>
      <c r="C54" s="26"/>
      <c r="D54" s="26"/>
      <c r="E54" s="26"/>
      <c r="F54" s="26"/>
      <c r="G54" s="26"/>
      <c r="H54" s="26"/>
      <c r="I54" s="26"/>
      <c r="J54" s="26"/>
      <c r="K54" s="26"/>
    </row>
    <row r="55" spans="2:17" x14ac:dyDescent="0.2">
      <c r="B55" s="36" t="s">
        <v>17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</row>
    <row r="56" spans="2:17" x14ac:dyDescent="0.2">
      <c r="B56" s="36" t="s">
        <v>18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</row>
    <row r="57" spans="2:17" ht="18.75" x14ac:dyDescent="0.35">
      <c r="B57" s="36" t="s">
        <v>30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</row>
    <row r="58" spans="2:17" ht="15" x14ac:dyDescent="0.25">
      <c r="B58" s="3" t="s">
        <v>57</v>
      </c>
    </row>
    <row r="59" spans="2:17" x14ac:dyDescent="0.2">
      <c r="B59" s="42" t="s">
        <v>34</v>
      </c>
    </row>
    <row r="60" spans="2:17" x14ac:dyDescent="0.2">
      <c r="B60" s="42" t="s">
        <v>35</v>
      </c>
    </row>
  </sheetData>
  <mergeCells count="2">
    <mergeCell ref="J30:M30"/>
    <mergeCell ref="J18:M18"/>
  </mergeCells>
  <conditionalFormatting sqref="H22">
    <cfRule type="cellIs" dxfId="2" priority="1" operator="lessThan">
      <formula>0</formula>
    </cfRule>
  </conditionalFormatting>
  <conditionalFormatting sqref="H33">
    <cfRule type="cellIs" dxfId="1" priority="2" operator="lessThan">
      <formula>0</formula>
    </cfRule>
  </conditionalFormatting>
  <hyperlinks>
    <hyperlink ref="B59" r:id="rId1" display="https://www.cmegroup.com/articles/2023/understanding-the-cme-group-fedwatch-tool-methodology.html" xr:uid="{10B319ED-400D-4054-B0B3-3750263CFCB5}"/>
    <hyperlink ref="B60" r:id="rId2" display="https://www.ice.com/products/68361266/Three-Month-SONIA-Index-Futures/data" xr:uid="{3602DE27-1F94-4D00-8D21-32FD8B084AD6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D9AC1-C1BE-425E-BFE2-9051668BC55F}">
  <dimension ref="A1:A3"/>
  <sheetViews>
    <sheetView workbookViewId="0">
      <selection activeCell="J20" sqref="J20"/>
    </sheetView>
  </sheetViews>
  <sheetFormatPr defaultRowHeight="14.25" x14ac:dyDescent="0.2"/>
  <sheetData>
    <row r="1" spans="1:1" x14ac:dyDescent="0.2">
      <c r="A1" t="s">
        <v>32</v>
      </c>
    </row>
    <row r="2" spans="1:1" x14ac:dyDescent="0.2">
      <c r="A2" t="s">
        <v>33</v>
      </c>
    </row>
    <row r="3" spans="1:1" x14ac:dyDescent="0.2">
      <c r="A3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6E4D-0D17-48C2-B2CB-7100516C71BC}">
  <dimension ref="A1:G28"/>
  <sheetViews>
    <sheetView workbookViewId="0">
      <selection activeCell="H16" sqref="H16"/>
    </sheetView>
  </sheetViews>
  <sheetFormatPr defaultRowHeight="14.25" x14ac:dyDescent="0.2"/>
  <cols>
    <col min="1" max="1" width="16.125" customWidth="1"/>
    <col min="2" max="2" width="16.875" customWidth="1"/>
    <col min="3" max="3" width="14.25" customWidth="1"/>
    <col min="4" max="4" width="11.125" customWidth="1"/>
    <col min="5" max="5" width="18.75" bestFit="1" customWidth="1"/>
  </cols>
  <sheetData>
    <row r="1" spans="1:7" ht="15" x14ac:dyDescent="0.25">
      <c r="B1" s="3" t="s">
        <v>21</v>
      </c>
      <c r="C1" s="29">
        <f ca="1">TODAY()</f>
        <v>46110</v>
      </c>
      <c r="G1" t="s">
        <v>49</v>
      </c>
    </row>
    <row r="2" spans="1:7" ht="15" x14ac:dyDescent="0.25">
      <c r="B2" s="3" t="s">
        <v>20</v>
      </c>
      <c r="C2" s="29">
        <f ca="1">C1</f>
        <v>46110</v>
      </c>
    </row>
    <row r="3" spans="1:7" ht="15" x14ac:dyDescent="0.25">
      <c r="B3" s="27">
        <v>1</v>
      </c>
      <c r="C3" s="37">
        <v>2</v>
      </c>
      <c r="D3" s="38">
        <v>3</v>
      </c>
      <c r="E3" s="27">
        <v>4</v>
      </c>
      <c r="G3" t="s">
        <v>50</v>
      </c>
    </row>
    <row r="4" spans="1:7" x14ac:dyDescent="0.2">
      <c r="A4" t="s">
        <v>19</v>
      </c>
      <c r="B4" s="28">
        <v>45627</v>
      </c>
      <c r="C4" s="39">
        <v>45717</v>
      </c>
      <c r="D4" s="40">
        <v>45809</v>
      </c>
      <c r="E4" s="28">
        <v>45901</v>
      </c>
    </row>
    <row r="5" spans="1:7" ht="15" x14ac:dyDescent="0.25">
      <c r="B5" s="4"/>
      <c r="C5" s="41">
        <f>Model_example!C5</f>
        <v>96.265000000000001</v>
      </c>
      <c r="D5" s="41">
        <f>Model_example!D5</f>
        <v>96.135000000000005</v>
      </c>
      <c r="E5" s="20">
        <f>Model_example!E5</f>
        <v>96.04</v>
      </c>
      <c r="G5" t="s">
        <v>53</v>
      </c>
    </row>
    <row r="6" spans="1:7" x14ac:dyDescent="0.2">
      <c r="G6" t="s">
        <v>59</v>
      </c>
    </row>
    <row r="8" spans="1:7" ht="15" x14ac:dyDescent="0.25">
      <c r="C8" s="2" t="s">
        <v>1</v>
      </c>
      <c r="D8" s="2" t="s">
        <v>0</v>
      </c>
      <c r="E8" s="3" t="s">
        <v>51</v>
      </c>
    </row>
    <row r="9" spans="1:7" x14ac:dyDescent="0.2">
      <c r="B9" s="7" t="s">
        <v>44</v>
      </c>
      <c r="C9" s="4">
        <f>Model_example!C5</f>
        <v>96.265000000000001</v>
      </c>
      <c r="D9" s="4">
        <f>100-C9</f>
        <v>3.7349999999999994</v>
      </c>
      <c r="E9">
        <v>4.2119999999999997</v>
      </c>
    </row>
    <row r="10" spans="1:7" x14ac:dyDescent="0.2">
      <c r="B10" s="7" t="s">
        <v>47</v>
      </c>
      <c r="C10" s="4">
        <f>Model_example!D5</f>
        <v>96.135000000000005</v>
      </c>
      <c r="D10" s="4">
        <f t="shared" ref="D10:D12" si="0">100-C10</f>
        <v>3.8649999999999949</v>
      </c>
    </row>
    <row r="11" spans="1:7" x14ac:dyDescent="0.2">
      <c r="B11" s="7" t="s">
        <v>38</v>
      </c>
      <c r="C11" s="4">
        <f>Model_example!E5</f>
        <v>96.04</v>
      </c>
      <c r="D11" s="4">
        <f t="shared" si="0"/>
        <v>3.9599999999999937</v>
      </c>
    </row>
    <row r="12" spans="1:7" x14ac:dyDescent="0.2">
      <c r="B12" s="7" t="s">
        <v>54</v>
      </c>
      <c r="C12">
        <v>96.224999999999994</v>
      </c>
      <c r="D12" s="4">
        <f t="shared" si="0"/>
        <v>3.7750000000000057</v>
      </c>
    </row>
    <row r="15" spans="1:7" ht="15" x14ac:dyDescent="0.25">
      <c r="G15" s="64"/>
    </row>
    <row r="16" spans="1:7" ht="15" x14ac:dyDescent="0.25">
      <c r="B16" s="67" t="s">
        <v>52</v>
      </c>
      <c r="C16" s="15"/>
      <c r="D16" s="15"/>
      <c r="E16" s="15"/>
      <c r="F16" s="16"/>
      <c r="G16" s="46"/>
    </row>
    <row r="17" spans="2:7" ht="15" x14ac:dyDescent="0.25">
      <c r="B17" s="55"/>
      <c r="C17" s="64" t="s">
        <v>48</v>
      </c>
      <c r="D17" s="64" t="s">
        <v>8</v>
      </c>
      <c r="E17" s="64" t="s">
        <v>9</v>
      </c>
      <c r="F17" s="65" t="s">
        <v>10</v>
      </c>
      <c r="G17" s="46"/>
    </row>
    <row r="18" spans="2:7" x14ac:dyDescent="0.2">
      <c r="B18" s="62" t="s">
        <v>47</v>
      </c>
      <c r="C18" s="46">
        <f>IF((D10 - E9)/0.25 &lt; 0, 1-(ABS(D18)),0)</f>
        <v>-0.38800000000001944</v>
      </c>
      <c r="D18" s="71">
        <f>IF((D10 - E9)/0.25 &gt; 0, E18 - 1, (D10 - E9)/0.25)</f>
        <v>-1.3880000000000194</v>
      </c>
      <c r="E18" s="46">
        <f>IF((D10 - E9)/0.25 &gt; 0, MOD((D10 - E9)/0.25, 1), 0)</f>
        <v>0</v>
      </c>
      <c r="F18" s="66"/>
    </row>
    <row r="19" spans="2:7" x14ac:dyDescent="0.2">
      <c r="B19" s="63" t="s">
        <v>38</v>
      </c>
      <c r="C19" s="46">
        <f>IF((D11 - E9)/0.25 &lt; 0, 1-(ABS(D19)),0)</f>
        <v>-8.0000000000239879E-3</v>
      </c>
      <c r="D19" s="71">
        <f>IF((D11 - E9)/0.25 &gt; 0, E19 - 1, (D11 - E9)/0.25)</f>
        <v>-1.008000000000024</v>
      </c>
      <c r="E19" s="46">
        <f>IF((D11 - E9)/0.25 &gt; 0, MOD((D11 - E9)/0.25, 1), 0)</f>
        <v>0</v>
      </c>
      <c r="F19" s="68"/>
    </row>
    <row r="22" spans="2:7" ht="15" x14ac:dyDescent="0.25">
      <c r="B22" s="69" t="s">
        <v>58</v>
      </c>
    </row>
    <row r="25" spans="2:7" x14ac:dyDescent="0.2">
      <c r="E25">
        <f>IF((D10 - E9)/0.25 &gt; 0, E18 - 1, (D10 - E9)/0.25)</f>
        <v>-1.3880000000000194</v>
      </c>
    </row>
    <row r="28" spans="2:7" x14ac:dyDescent="0.2">
      <c r="E28" s="70"/>
    </row>
  </sheetData>
  <conditionalFormatting sqref="D18:D19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Model_example</vt:lpstr>
      <vt:lpstr>Note_using the next Q as anchor</vt:lpstr>
      <vt:lpstr>CFA_Methodology_not useful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Dimitrov Lobao, Arthur</dc:creator>
  <cp:lastModifiedBy>User233</cp:lastModifiedBy>
  <dcterms:created xsi:type="dcterms:W3CDTF">2022-08-02T14:45:14Z</dcterms:created>
  <dcterms:modified xsi:type="dcterms:W3CDTF">2026-03-29T17:35:57Z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